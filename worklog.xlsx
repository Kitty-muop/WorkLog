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ntries" sheetId="1" state="visible" r:id="rId1"/>
    <sheet name="Projects" sheetId="2" state="visible" r:id="rId2"/>
    <sheet name="KPIs" sheetId="3" state="visible" r:id="rId3"/>
    <sheet name="SubTasks" sheetId="4" state="visible" r:id="rId4"/>
    <sheet name="Weekly Summary" sheetId="5" state="visible" r:id="rId5"/>
    <sheet name="Daily Detail" sheetId="6" state="visible" r:id="rId6"/>
    <sheet name="Monthly" sheetId="7" state="visible" r:id="rId7"/>
  </sheets>
  <definedNames>
    <definedName name="_xlnm._FilterDatabase" localSheetId="0" hidden="1">'Time Entries'!$A$1:$L$501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"/>
    <numFmt numFmtId="165" formatCode="hh:mm"/>
    <numFmt numFmtId="166" formatCode="0.0"/>
    <numFmt numFmtId="167" formatCode="0.0%"/>
    <numFmt numFmtId="168" formatCode="0.0&quot;%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999999"/>
      <sz val="11"/>
    </font>
    <font>
      <name val="Calibri"/>
      <b val="1"/>
      <i val="1"/>
      <sz val="12"/>
    </font>
    <font>
      <name val="Calibri"/>
      <b val="1"/>
      <sz val="11"/>
    </font>
    <font>
      <name val="Calibri"/>
      <b val="1"/>
      <sz val="14"/>
    </font>
    <font>
      <name val="Calibri"/>
      <sz val="12"/>
    </font>
    <font>
      <name val="Calibri"/>
      <i val="1"/>
      <color rgb="00888888"/>
      <sz val="9"/>
    </font>
    <font>
      <name val="Calibri"/>
      <i val="1"/>
      <sz val="11"/>
    </font>
    <font>
      <name val="Calibri"/>
      <sz val="11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4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164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4" borderId="0" pivotButton="0" quotePrefix="0" xfId="0"/>
    <xf numFmtId="167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15" customWidth="1" min="3" max="3"/>
    <col width="25" customWidth="1" min="4" max="4"/>
    <col width="20" customWidth="1" min="5" max="5"/>
    <col width="15" customWidth="1" min="6" max="6"/>
    <col width="15" customWidth="1" min="7" max="7"/>
    <col width="11" customWidth="1" min="8" max="8"/>
    <col width="11" customWidth="1" min="9" max="9"/>
    <col width="12" customWidth="1" min="10" max="10"/>
    <col width="50" customWidth="1" min="11" max="11"/>
    <col width="30" customWidth="1" min="12" max="12"/>
    <col hidden="1" width="15" customWidth="1" min="13" max="13"/>
    <col hidden="1" width="25" customWidth="1" min="14" max="14"/>
    <col hidden="1" width="30" customWidth="1" min="15" max="15"/>
    <col hidden="1" width="8" customWidth="1" min="16" max="16"/>
    <col hidden="1" width="8" customWidth="1" min="17" max="17"/>
    <col hidden="1" width="8" customWidth="1" min="18" max="1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Project</t>
        </is>
      </c>
      <c r="D1" s="1" t="inlineStr">
        <is>
          <t>Father Task</t>
        </is>
      </c>
      <c r="E1" s="1" t="inlineStr">
        <is>
          <t>Sub Task</t>
        </is>
      </c>
      <c r="F1" s="1" t="inlineStr">
        <is>
          <t>Sub Task Code</t>
        </is>
      </c>
      <c r="G1" s="1" t="inlineStr">
        <is>
          <t>Category</t>
        </is>
      </c>
      <c r="H1" s="1" t="inlineStr">
        <is>
          <t>Start Time</t>
        </is>
      </c>
      <c r="I1" s="1" t="inlineStr">
        <is>
          <t>End Time</t>
        </is>
      </c>
      <c r="J1" s="1" t="inlineStr">
        <is>
          <t>Duration (h)</t>
        </is>
      </c>
      <c r="K1" s="1" t="inlineStr">
        <is>
          <t>Description</t>
        </is>
      </c>
      <c r="L1" s="1" t="inlineStr">
        <is>
          <t>Break Info</t>
        </is>
      </c>
    </row>
    <row r="2">
      <c r="A2" s="2" t="n">
        <v>46230</v>
      </c>
      <c r="B2" t="inlineStr">
        <is>
          <t>Mon</t>
        </is>
      </c>
      <c r="C2" t="inlineStr">
        <is>
          <t>AI-AutoTest</t>
        </is>
      </c>
      <c r="D2" t="inlineStr">
        <is>
          <t>Create MCP tool</t>
        </is>
      </c>
      <c r="E2" t="inlineStr">
        <is>
          <t>MCP log</t>
        </is>
      </c>
      <c r="F2" t="inlineStr">
        <is>
          <t>PRJ-1-KPI-1-ST-1</t>
        </is>
      </c>
      <c r="G2" t="inlineStr">
        <is>
          <t>MCPTOOL</t>
        </is>
      </c>
      <c r="H2" s="3" t="n">
        <v>0.5861111111111111</v>
      </c>
      <c r="I2" s="3" t="n">
        <v>0.7297685185185185</v>
      </c>
      <c r="J2" s="4">
        <f>IF(AND(H2&lt;&gt;"",I2&lt;&gt;""),(I2-H2)*24,"")</f>
        <v/>
      </c>
      <c r="K2" t="inlineStr">
        <is>
          <t>Done MCP tool log</t>
        </is>
      </c>
      <c r="M2">
        <f>IF(C2&lt;&gt;"",C2,"")</f>
        <v/>
      </c>
      <c r="N2">
        <f>IF(D2&lt;&gt;"",D2,"")</f>
        <v/>
      </c>
      <c r="O2">
        <f>M2&amp;": "&amp;N2</f>
        <v/>
      </c>
      <c r="P2">
        <f>IF(O2="","",IF(COUNTIF($O$1:O1,O2)=0,MAX($P$1:P1)+1,""))</f>
        <v/>
      </c>
      <c r="Q2">
        <f>IF(A2="","",COUNTIF($A$2:A2,A2))</f>
        <v/>
      </c>
      <c r="R2">
        <f>IF(A2="","",1)</f>
        <v/>
      </c>
    </row>
    <row r="3">
      <c r="A3" s="2" t="n">
        <v>46232</v>
      </c>
      <c r="B3" t="inlineStr">
        <is>
          <t>Wed</t>
        </is>
      </c>
      <c r="C3" t="inlineStr">
        <is>
          <t>web fix</t>
        </is>
      </c>
      <c r="D3" t="inlineStr">
        <is>
          <t>Fix the project web running correct</t>
        </is>
      </c>
      <c r="E3" t="inlineStr">
        <is>
          <t>Running checker the UI/UX</t>
        </is>
      </c>
      <c r="F3" t="inlineStr">
        <is>
          <t>PRJ-3-KPI-2-ST-1</t>
        </is>
      </c>
      <c r="G3" t="inlineStr">
        <is>
          <t>Development</t>
        </is>
      </c>
      <c r="H3" s="3" t="n">
        <v>0.4393287037037037</v>
      </c>
      <c r="I3" s="3" t="n">
        <v>0.4602199074074074</v>
      </c>
      <c r="J3" s="4">
        <f>IF(AND(H3&lt;&gt;"",I3&lt;&gt;""),(I3-H3)*24,"")</f>
        <v/>
      </c>
      <c r="K3" t="inlineStr">
        <is>
          <t>feat: enforce starting subtask only if created + add subtask start command</t>
        </is>
      </c>
      <c r="M3">
        <f>IF(C3&lt;&gt;"",C3,M2)</f>
        <v/>
      </c>
      <c r="N3">
        <f>IF(D3&lt;&gt;"",D3,N2)</f>
        <v/>
      </c>
      <c r="O3">
        <f>M3&amp;": "&amp;N3</f>
        <v/>
      </c>
      <c r="P3">
        <f>IF(O3="","",IF(COUNTIF($O$1:O2,O3)=0,MAX($P$1:P2)+1,""))</f>
        <v/>
      </c>
      <c r="Q3">
        <f>IF(A3="","",COUNTIF($A$2:A3,A3))</f>
        <v/>
      </c>
      <c r="R3">
        <f>IF(A3="","",MAX($R$1:R2)+1)</f>
        <v/>
      </c>
    </row>
    <row r="4">
      <c r="A4" s="2" t="n">
        <v>46232</v>
      </c>
      <c r="B4" t="inlineStr">
        <is>
          <t>Wed</t>
        </is>
      </c>
      <c r="C4" t="inlineStr">
        <is>
          <t>web fix</t>
        </is>
      </c>
      <c r="D4" t="inlineStr">
        <is>
          <t>Fix the project web running correct</t>
        </is>
      </c>
      <c r="E4" t="inlineStr">
        <is>
          <t>Running checker the UI/UX</t>
        </is>
      </c>
      <c r="F4" t="inlineStr">
        <is>
          <t>PRJ-3-KPI-2-ST-1</t>
        </is>
      </c>
      <c r="G4" t="inlineStr">
        <is>
          <t>Development</t>
        </is>
      </c>
      <c r="H4" s="3" t="n">
        <v>0.4393287037037037</v>
      </c>
      <c r="I4" s="3" t="n">
        <v>0.4602777777777778</v>
      </c>
      <c r="J4" s="4">
        <f>IF(AND(H4&lt;&gt;"",I4&lt;&gt;""),(I4-H4)*24,"")</f>
        <v/>
      </c>
      <c r="K4" t="inlineStr">
        <is>
          <t>feat: enforce starting subtask only if created + add subtask start command</t>
        </is>
      </c>
      <c r="M4">
        <f>IF(C4&lt;&gt;"",C4,M3)</f>
        <v/>
      </c>
      <c r="N4">
        <f>IF(D4&lt;&gt;"",D4,N3)</f>
        <v/>
      </c>
      <c r="O4">
        <f>M4&amp;": "&amp;N4</f>
        <v/>
      </c>
      <c r="P4">
        <f>IF(O4="","",IF(COUNTIF($O$1:O3,O4)=0,MAX($P$1:P3)+1,""))</f>
        <v/>
      </c>
      <c r="Q4">
        <f>IF(A4="","",COUNTIF($A$2:A4,A4))</f>
        <v/>
      </c>
      <c r="R4">
        <f>IF(A4="","",MAX($R$1:R3)+1)</f>
        <v/>
      </c>
    </row>
    <row r="5">
      <c r="A5" s="2" t="n">
        <v>46232</v>
      </c>
      <c r="B5" t="inlineStr">
        <is>
          <t>Wed</t>
        </is>
      </c>
      <c r="C5" t="inlineStr">
        <is>
          <t>web fix</t>
        </is>
      </c>
      <c r="D5" t="inlineStr">
        <is>
          <t>Fix the project web running correct</t>
        </is>
      </c>
      <c r="E5" t="inlineStr">
        <is>
          <t>Running checker the UI/UX</t>
        </is>
      </c>
      <c r="F5" t="inlineStr">
        <is>
          <t>PRJ-3-KPI-2-ST-1</t>
        </is>
      </c>
      <c r="G5" t="inlineStr">
        <is>
          <t>Development</t>
        </is>
      </c>
      <c r="H5" s="3" t="n">
        <v>0.4393287037037037</v>
      </c>
      <c r="I5" s="3" t="n">
        <v>0.4604050925925926</v>
      </c>
      <c r="J5" s="4">
        <f>IF(AND(H5&lt;&gt;"",I5&lt;&gt;""),(I5-H5)*24,"")</f>
        <v/>
      </c>
      <c r="K5" t="inlineStr">
        <is>
          <t>feat: enforce starting subtask only if created + add subtask start command</t>
        </is>
      </c>
      <c r="M5">
        <f>IF(C5&lt;&gt;"",C5,M4)</f>
        <v/>
      </c>
      <c r="N5">
        <f>IF(D5&lt;&gt;"",D5,N4)</f>
        <v/>
      </c>
      <c r="O5">
        <f>M5&amp;": "&amp;N5</f>
        <v/>
      </c>
      <c r="P5">
        <f>IF(O5="","",IF(COUNTIF($O$1:O4,O5)=0,MAX($P$1:P4)+1,""))</f>
        <v/>
      </c>
      <c r="Q5">
        <f>IF(A5="","",COUNTIF($A$2:A5,A5))</f>
        <v/>
      </c>
      <c r="R5">
        <f>IF(A5="","",MAX($R$1:R4)+1)</f>
        <v/>
      </c>
    </row>
    <row r="6">
      <c r="A6" s="2" t="n">
        <v>46232</v>
      </c>
      <c r="B6" t="inlineStr">
        <is>
          <t>Wed</t>
        </is>
      </c>
      <c r="C6" t="inlineStr">
        <is>
          <t>web fix</t>
        </is>
      </c>
      <c r="D6" t="inlineStr">
        <is>
          <t>Fix the project web running correct</t>
        </is>
      </c>
      <c r="E6" t="inlineStr">
        <is>
          <t>Running checker the UI/UX</t>
        </is>
      </c>
      <c r="F6" t="inlineStr">
        <is>
          <t>PRJ-3-KPI-2-ST-1</t>
        </is>
      </c>
      <c r="G6" t="inlineStr">
        <is>
          <t>Development</t>
        </is>
      </c>
      <c r="H6" s="3" t="n">
        <v>0.4393287037037037</v>
      </c>
      <c r="I6" s="3" t="n">
        <v>0.4604513888888889</v>
      </c>
      <c r="J6" s="4">
        <f>IF(AND(H6&lt;&gt;"",I6&lt;&gt;""),(I6-H6)*24,"")</f>
        <v/>
      </c>
      <c r="K6" t="inlineStr">
        <is>
          <t>feat: enforce starting subtask only if created + add subtask start command</t>
        </is>
      </c>
      <c r="M6">
        <f>IF(C6&lt;&gt;"",C6,M5)</f>
        <v/>
      </c>
      <c r="N6">
        <f>IF(D6&lt;&gt;"",D6,N5)</f>
        <v/>
      </c>
      <c r="O6">
        <f>M6&amp;": "&amp;N6</f>
        <v/>
      </c>
      <c r="P6">
        <f>IF(O6="","",IF(COUNTIF($O$1:O5,O6)=0,MAX($P$1:P5)+1,""))</f>
        <v/>
      </c>
      <c r="Q6">
        <f>IF(A6="","",COUNTIF($A$2:A6,A6))</f>
        <v/>
      </c>
      <c r="R6">
        <f>IF(A6="","",MAX($R$1:R5)+1)</f>
        <v/>
      </c>
    </row>
    <row r="7">
      <c r="A7" s="2" t="n">
        <v>46232</v>
      </c>
      <c r="B7" t="inlineStr">
        <is>
          <t>Wed</t>
        </is>
      </c>
      <c r="C7" t="inlineStr">
        <is>
          <t>web fix</t>
        </is>
      </c>
      <c r="D7" t="inlineStr">
        <is>
          <t>Fix the project web running correct</t>
        </is>
      </c>
      <c r="E7" t="inlineStr">
        <is>
          <t>Running checker the UI/UX</t>
        </is>
      </c>
      <c r="F7" t="inlineStr">
        <is>
          <t>PRJ-3-KPI-2-ST-1</t>
        </is>
      </c>
      <c r="G7" t="inlineStr">
        <is>
          <t>Development</t>
        </is>
      </c>
      <c r="H7" s="3" t="n">
        <v>0.4393287037037037</v>
      </c>
      <c r="I7" s="3" t="n">
        <v>0.4604976851851852</v>
      </c>
      <c r="J7" s="4">
        <f>IF(AND(H7&lt;&gt;"",I7&lt;&gt;""),(I7-H7)*24,"")</f>
        <v/>
      </c>
      <c r="K7" t="inlineStr">
        <is>
          <t>feat: enforce starting subtask only if created + add subtask start command</t>
        </is>
      </c>
      <c r="M7">
        <f>IF(C7&lt;&gt;"",C7,M6)</f>
        <v/>
      </c>
      <c r="N7">
        <f>IF(D7&lt;&gt;"",D7,N6)</f>
        <v/>
      </c>
      <c r="O7">
        <f>M7&amp;": "&amp;N7</f>
        <v/>
      </c>
      <c r="P7">
        <f>IF(O7="","",IF(COUNTIF($O$1:O6,O7)=0,MAX($P$1:P6)+1,""))</f>
        <v/>
      </c>
      <c r="Q7">
        <f>IF(A7="","",COUNTIF($A$2:A7,A7))</f>
        <v/>
      </c>
      <c r="R7">
        <f>IF(A7="","",MAX($R$1:R6)+1)</f>
        <v/>
      </c>
    </row>
    <row r="8">
      <c r="A8" s="2" t="n">
        <v>46232</v>
      </c>
      <c r="B8" t="inlineStr">
        <is>
          <t>Wed</t>
        </is>
      </c>
      <c r="C8" t="inlineStr">
        <is>
          <t>web fix</t>
        </is>
      </c>
      <c r="D8" t="inlineStr">
        <is>
          <t>Fix the project web running correct</t>
        </is>
      </c>
      <c r="E8" t="inlineStr">
        <is>
          <t>Running checker the UI/UX</t>
        </is>
      </c>
      <c r="F8" t="inlineStr">
        <is>
          <t>PRJ-3-KPI-2-ST-1</t>
        </is>
      </c>
      <c r="G8" t="inlineStr">
        <is>
          <t>Development</t>
        </is>
      </c>
      <c r="H8" s="3" t="n">
        <v>0.4393287037037037</v>
      </c>
      <c r="I8" s="3" t="n">
        <v>0.4605439814814815</v>
      </c>
      <c r="J8" s="4">
        <f>IF(AND(H8&lt;&gt;"",I8&lt;&gt;""),(I8-H8)*24,"")</f>
        <v/>
      </c>
      <c r="K8" t="inlineStr">
        <is>
          <t>feat: enforce starting subtask only if created + add subtask start command</t>
        </is>
      </c>
      <c r="M8">
        <f>IF(C8&lt;&gt;"",C8,M7)</f>
        <v/>
      </c>
      <c r="N8">
        <f>IF(D8&lt;&gt;"",D8,N7)</f>
        <v/>
      </c>
      <c r="O8">
        <f>M8&amp;": "&amp;N8</f>
        <v/>
      </c>
      <c r="P8">
        <f>IF(O8="","",IF(COUNTIF($O$1:O7,O8)=0,MAX($P$1:P7)+1,""))</f>
        <v/>
      </c>
      <c r="Q8">
        <f>IF(A8="","",COUNTIF($A$2:A8,A8))</f>
        <v/>
      </c>
      <c r="R8">
        <f>IF(A8="","",MAX($R$1:R7)+1)</f>
        <v/>
      </c>
    </row>
    <row r="9">
      <c r="A9" s="2" t="n">
        <v>46232</v>
      </c>
      <c r="B9" t="inlineStr">
        <is>
          <t>Wed</t>
        </is>
      </c>
      <c r="C9" t="inlineStr">
        <is>
          <t>web fix</t>
        </is>
      </c>
      <c r="D9" t="inlineStr">
        <is>
          <t>Fix the project web running correct</t>
        </is>
      </c>
      <c r="E9" t="inlineStr">
        <is>
          <t>Running checker the UI/UX</t>
        </is>
      </c>
      <c r="F9" t="inlineStr">
        <is>
          <t>PRJ-3-KPI-2-ST-1</t>
        </is>
      </c>
      <c r="G9" t="inlineStr">
        <is>
          <t>Development</t>
        </is>
      </c>
      <c r="H9" s="3" t="n">
        <v>0.4393287037037037</v>
      </c>
      <c r="I9" s="3" t="n">
        <v>0.4606018518518519</v>
      </c>
      <c r="J9" s="4">
        <f>IF(AND(H9&lt;&gt;"",I9&lt;&gt;""),(I9-H9)*24,"")</f>
        <v/>
      </c>
      <c r="K9" t="inlineStr">
        <is>
          <t>feat: enforce starting subtask only if created + add subtask start command</t>
        </is>
      </c>
      <c r="M9">
        <f>IF(C9&lt;&gt;"",C9,M8)</f>
        <v/>
      </c>
      <c r="N9">
        <f>IF(D9&lt;&gt;"",D9,N8)</f>
        <v/>
      </c>
      <c r="O9">
        <f>M9&amp;": "&amp;N9</f>
        <v/>
      </c>
      <c r="P9">
        <f>IF(O9="","",IF(COUNTIF($O$1:O8,O9)=0,MAX($P$1:P8)+1,""))</f>
        <v/>
      </c>
      <c r="Q9">
        <f>IF(A9="","",COUNTIF($A$2:A9,A9))</f>
        <v/>
      </c>
      <c r="R9">
        <f>IF(A9="","",MAX($R$1:R8)+1)</f>
        <v/>
      </c>
    </row>
    <row r="10">
      <c r="A10" s="2" t="n">
        <v>46232</v>
      </c>
      <c r="B10" t="inlineStr">
        <is>
          <t>Wed</t>
        </is>
      </c>
      <c r="C10" t="inlineStr">
        <is>
          <t>AI-Airtest</t>
        </is>
      </c>
      <c r="D10" t="inlineStr">
        <is>
          <t>Create MCP tool</t>
        </is>
      </c>
      <c r="E10" t="inlineStr">
        <is>
          <t>Fix MCP tool airtest</t>
        </is>
      </c>
      <c r="F10" t="inlineStr">
        <is>
          <t>PRJ-1-KPI-1-ST-2</t>
        </is>
      </c>
      <c r="G10" t="inlineStr">
        <is>
          <t>Development</t>
        </is>
      </c>
      <c r="H10" s="3" t="n">
        <v>0.3689351851851852</v>
      </c>
      <c r="I10" s="3" t="n">
        <v>0.4606597222222222</v>
      </c>
      <c r="J10" s="4">
        <f>IF(AND(H10&lt;&gt;"",I10&lt;&gt;""),(I10-H10)*24,"")</f>
        <v/>
      </c>
      <c r="K10" t="inlineStr">
        <is>
          <t>feat: enforce starting subtask only if created + add subtask start command</t>
        </is>
      </c>
      <c r="M10">
        <f>IF(C10&lt;&gt;"",C10,M9)</f>
        <v/>
      </c>
      <c r="N10">
        <f>IF(D10&lt;&gt;"",D10,N9)</f>
        <v/>
      </c>
      <c r="O10">
        <f>M10&amp;": "&amp;N10</f>
        <v/>
      </c>
      <c r="P10">
        <f>IF(O10="","",IF(COUNTIF($O$1:O9,O10)=0,MAX($P$1:P9)+1,""))</f>
        <v/>
      </c>
      <c r="Q10">
        <f>IF(A10="","",COUNTIF($A$2:A10,A10))</f>
        <v/>
      </c>
      <c r="R10">
        <f>IF(A10="","",MAX($R$1:R9)+1)</f>
        <v/>
      </c>
    </row>
    <row r="11">
      <c r="A11" s="2" t="n">
        <v>46232</v>
      </c>
      <c r="B11" t="inlineStr">
        <is>
          <t>Wed</t>
        </is>
      </c>
      <c r="C11" t="inlineStr">
        <is>
          <t>web fix</t>
        </is>
      </c>
      <c r="D11" t="inlineStr">
        <is>
          <t>Fix the project web running correct</t>
        </is>
      </c>
      <c r="E11" t="inlineStr">
        <is>
          <t>Running checker the UI/UX</t>
        </is>
      </c>
      <c r="F11" t="inlineStr">
        <is>
          <t>PRJ-3-KPI-2-ST-1</t>
        </is>
      </c>
      <c r="G11" t="inlineStr">
        <is>
          <t>Development</t>
        </is>
      </c>
      <c r="H11" s="3" t="n">
        <v>0.6502546296296297</v>
      </c>
      <c r="I11" s="3" t="n">
        <v>0.7047916666666667</v>
      </c>
      <c r="J11" s="4">
        <f>IF(AND(H11&lt;&gt;"",I11&lt;&gt;""),(I11-H11)*24,"")</f>
        <v/>
      </c>
      <c r="K11" t="inlineStr">
        <is>
          <t>feat: enforce starting subtask only if created + add subtask start command</t>
        </is>
      </c>
      <c r="L11" t="inlineStr">
        <is>
          <t>out of quota(11m); out of quota(86m)</t>
        </is>
      </c>
      <c r="M11">
        <f>IF(C11&lt;&gt;"",C11,M10)</f>
        <v/>
      </c>
      <c r="N11">
        <f>IF(D11&lt;&gt;"",D11,N10)</f>
        <v/>
      </c>
      <c r="O11">
        <f>M11&amp;": "&amp;N11</f>
        <v/>
      </c>
      <c r="P11">
        <f>IF(O11="","",IF(COUNTIF($O$1:O10,O11)=0,MAX($P$1:P10)+1,""))</f>
        <v/>
      </c>
      <c r="Q11">
        <f>IF(A11="","",COUNTIF($A$2:A11,A11))</f>
        <v/>
      </c>
      <c r="R11">
        <f>IF(A11="","",MAX($R$1:R10)+1)</f>
        <v/>
      </c>
    </row>
    <row r="12">
      <c r="A12" s="2" t="n">
        <v>46233</v>
      </c>
      <c r="B12" t="inlineStr">
        <is>
          <t>Thu</t>
        </is>
      </c>
      <c r="C12" t="inlineStr">
        <is>
          <t>AI-AutoTest</t>
        </is>
      </c>
      <c r="D12" t="inlineStr">
        <is>
          <t>Create MCP tool</t>
        </is>
      </c>
      <c r="E12" t="inlineStr">
        <is>
          <t>Create MCP Airtest report</t>
        </is>
      </c>
      <c r="F12" t="inlineStr">
        <is>
          <t>PRJ-1-KPI-1-ST-6</t>
        </is>
      </c>
      <c r="G12" t="inlineStr">
        <is>
          <t>Development</t>
        </is>
      </c>
      <c r="H12" s="3" t="n">
        <v>0.565775462962963</v>
      </c>
      <c r="I12" s="3" t="n">
        <v>0.6614699074074074</v>
      </c>
      <c r="J12" s="4">
        <f>IF(AND(H12&lt;&gt;"",I12&lt;&gt;""),(I12-H12)*24,"")</f>
        <v/>
      </c>
      <c r="K12" t="inlineStr">
        <is>
          <t>Create the MCP can export the report after running AI</t>
        </is>
      </c>
      <c r="L12" t="inlineStr">
        <is>
          <t>End of the day, wait to tomorrow(899m); lunch(15m)</t>
        </is>
      </c>
      <c r="M12">
        <f>IF(C12&lt;&gt;"",C12,M11)</f>
        <v/>
      </c>
      <c r="N12">
        <f>IF(D12&lt;&gt;"",D12,N11)</f>
        <v/>
      </c>
      <c r="O12">
        <f>M12&amp;": "&amp;N12</f>
        <v/>
      </c>
      <c r="P12">
        <f>IF(O12="","",IF(COUNTIF($O$1:O11,O12)=0,MAX($P$1:P11)+1,""))</f>
        <v/>
      </c>
      <c r="Q12">
        <f>IF(A12="","",COUNTIF($A$2:A12,A12))</f>
        <v/>
      </c>
      <c r="R12">
        <f>IF(A12="","",MAX($R$1:R11)+1)</f>
        <v/>
      </c>
    </row>
    <row r="13">
      <c r="A13" s="2" t="n">
        <v>46233</v>
      </c>
      <c r="B13" t="inlineStr">
        <is>
          <t>Thu</t>
        </is>
      </c>
      <c r="C13" t="inlineStr">
        <is>
          <t>AI-AutoTest</t>
        </is>
      </c>
      <c r="D13" t="inlineStr">
        <is>
          <t>Create MCP tool</t>
        </is>
      </c>
      <c r="E13" t="inlineStr">
        <is>
          <t>Fix MCP tool airtest</t>
        </is>
      </c>
      <c r="F13" t="inlineStr">
        <is>
          <t>PRJ-1-KPI-1-ST-6</t>
        </is>
      </c>
      <c r="G13" t="inlineStr">
        <is>
          <t>Development</t>
        </is>
      </c>
      <c r="H13" s="3" t="n">
        <v>0.565775462962963</v>
      </c>
      <c r="I13" s="3" t="n">
        <v>0.661886574074074</v>
      </c>
      <c r="J13" s="4">
        <f>IF(AND(H13&lt;&gt;"",I13&lt;&gt;""),(I13-H13)*24,"")</f>
        <v/>
      </c>
      <c r="K13" t="inlineStr">
        <is>
          <t>Create the MCP can export the report after running AI</t>
        </is>
      </c>
      <c r="L13" t="inlineStr">
        <is>
          <t>End of the day, wait to tomorrow(899m); lunch(15m)</t>
        </is>
      </c>
      <c r="M13">
        <f>IF(C13&lt;&gt;"",C13,M12)</f>
        <v/>
      </c>
      <c r="N13">
        <f>IF(D13&lt;&gt;"",D13,N12)</f>
        <v/>
      </c>
      <c r="O13">
        <f>M13&amp;": "&amp;N13</f>
        <v/>
      </c>
      <c r="P13">
        <f>IF(O13="","",IF(COUNTIF($O$1:O12,O13)=0,MAX($P$1:P12)+1,""))</f>
        <v/>
      </c>
      <c r="Q13">
        <f>IF(A13="","",COUNTIF($A$2:A13,A13))</f>
        <v/>
      </c>
      <c r="R13">
        <f>IF(A13="","",MAX($R$1:R12)+1)</f>
        <v/>
      </c>
    </row>
    <row r="14">
      <c r="A14" s="2" t="n">
        <v>46233</v>
      </c>
      <c r="B14" t="inlineStr">
        <is>
          <t>Thu</t>
        </is>
      </c>
      <c r="C14" t="inlineStr">
        <is>
          <t>AI-AutoTest</t>
        </is>
      </c>
      <c r="D14" t="inlineStr">
        <is>
          <t>Create MCP tool</t>
        </is>
      </c>
      <c r="E14" t="inlineStr">
        <is>
          <t>Create MCP Airtest report</t>
        </is>
      </c>
      <c r="F14" t="inlineStr">
        <is>
          <t>PRJ-1-KPI-1-ST-6</t>
        </is>
      </c>
      <c r="G14" t="inlineStr">
        <is>
          <t>Development</t>
        </is>
      </c>
      <c r="H14" s="3" t="n">
        <v>0.565775462962963</v>
      </c>
      <c r="I14" s="3" t="n">
        <v>0.662337962962963</v>
      </c>
      <c r="J14" s="4">
        <f>IF(AND(H14&lt;&gt;"",I14&lt;&gt;""),(I14-H14)*24,"")</f>
        <v/>
      </c>
      <c r="K14" t="inlineStr">
        <is>
          <t>Create the MCP can export the report after running AI</t>
        </is>
      </c>
      <c r="L14" t="inlineStr">
        <is>
          <t>End of the day, wait to tomorrow(899m); lunch(15m)</t>
        </is>
      </c>
      <c r="M14">
        <f>IF(C14&lt;&gt;"",C14,M13)</f>
        <v/>
      </c>
      <c r="N14">
        <f>IF(D14&lt;&gt;"",D14,N13)</f>
        <v/>
      </c>
      <c r="O14">
        <f>M14&amp;": "&amp;N14</f>
        <v/>
      </c>
      <c r="P14">
        <f>IF(O14="","",IF(COUNTIF($O$1:O13,O14)=0,MAX($P$1:P13)+1,""))</f>
        <v/>
      </c>
      <c r="Q14">
        <f>IF(A14="","",COUNTIF($A$2:A14,A14))</f>
        <v/>
      </c>
      <c r="R14">
        <f>IF(A14="","",MAX($R$1:R13)+1)</f>
        <v/>
      </c>
    </row>
    <row r="15">
      <c r="A15" s="2" t="n">
        <v>46233</v>
      </c>
      <c r="B15" t="inlineStr">
        <is>
          <t>Thu</t>
        </is>
      </c>
      <c r="C15" t="inlineStr">
        <is>
          <t>AI-AutoTest</t>
        </is>
      </c>
      <c r="D15" t="inlineStr">
        <is>
          <t>Prompt AI</t>
        </is>
      </c>
      <c r="E15" t="inlineStr">
        <is>
          <t>MCP running test case</t>
        </is>
      </c>
      <c r="F15" t="inlineStr">
        <is>
          <t>PRJ-1-KPI-2-ST-1</t>
        </is>
      </c>
      <c r="G15" t="inlineStr">
        <is>
          <t>Development</t>
        </is>
      </c>
      <c r="H15" s="3" t="n">
        <v>0.666875</v>
      </c>
      <c r="I15" s="3" t="n">
        <v>0.5939004629629629</v>
      </c>
      <c r="J15" s="4">
        <f>IF(AND(H15&lt;&gt;"",I15&lt;&gt;""),(I15-H15)*24,"")</f>
        <v/>
      </c>
      <c r="K15" t="inlineStr">
        <is>
          <t>fix the context system prompt to make it low cost</t>
        </is>
      </c>
      <c r="M15">
        <f>IF(C15&lt;&gt;"",C15,M14)</f>
        <v/>
      </c>
      <c r="N15">
        <f>IF(D15&lt;&gt;"",D15,N14)</f>
        <v/>
      </c>
      <c r="O15">
        <f>M15&amp;": "&amp;N15</f>
        <v/>
      </c>
      <c r="P15">
        <f>IF(O15="","",IF(COUNTIF($O$1:O14,O15)=0,MAX($P$1:P14)+1,""))</f>
        <v/>
      </c>
      <c r="Q15">
        <f>IF(A15="","",COUNTIF($A$2:A15,A15))</f>
        <v/>
      </c>
      <c r="R15">
        <f>IF(A15="","",MAX($R$1:R14)+1)</f>
        <v/>
      </c>
    </row>
    <row r="16">
      <c r="A16" s="2" t="n">
        <v>46238</v>
      </c>
      <c r="B16" t="inlineStr">
        <is>
          <t>Tue</t>
        </is>
      </c>
      <c r="C16" t="inlineStr">
        <is>
          <t>AI-AutoTest</t>
        </is>
      </c>
      <c r="D16" t="inlineStr">
        <is>
          <t>Prompt AI</t>
        </is>
      </c>
      <c r="E16" t="inlineStr">
        <is>
          <t>Convert knowledge AI</t>
        </is>
      </c>
      <c r="F16" t="inlineStr">
        <is>
          <t>PRJ-1-KPI-2-ST-1</t>
        </is>
      </c>
      <c r="G16" t="inlineStr">
        <is>
          <t>Development</t>
        </is>
      </c>
      <c r="H16" s="3" t="n">
        <v>0.6300694444444445</v>
      </c>
      <c r="I16" s="3" t="n">
        <v>0.7448611111111111</v>
      </c>
      <c r="J16" s="4">
        <f>IF(AND(H16&lt;&gt;"",I16&lt;&gt;""),(I16-H16)*24,"")</f>
        <v/>
      </c>
      <c r="K16" t="inlineStr">
        <is>
          <t>feat: enforce starting subtask only if created + add subtask start command</t>
        </is>
      </c>
      <c r="L16" t="inlineStr">
        <is>
          <t>break(48m)</t>
        </is>
      </c>
      <c r="M16">
        <f>IF(C16&lt;&gt;"",C16,M15)</f>
        <v/>
      </c>
      <c r="N16">
        <f>IF(D16&lt;&gt;"",D16,N15)</f>
        <v/>
      </c>
      <c r="O16">
        <f>M16&amp;": "&amp;N16</f>
        <v/>
      </c>
      <c r="P16">
        <f>IF(O16="","",IF(COUNTIF($O$1:O15,O16)=0,MAX($P$1:P15)+1,""))</f>
        <v/>
      </c>
      <c r="Q16">
        <f>IF(A16="","",COUNTIF($A$2:A16,A16))</f>
        <v/>
      </c>
      <c r="R16">
        <f>IF(A16="","",MAX($R$1:R15)+1)</f>
        <v/>
      </c>
    </row>
    <row r="17">
      <c r="A17" s="2" t="n">
        <v>46238</v>
      </c>
      <c r="B17" t="inlineStr">
        <is>
          <t>Tue</t>
        </is>
      </c>
      <c r="C17" t="inlineStr">
        <is>
          <t>web fix</t>
        </is>
      </c>
      <c r="D17" t="inlineStr">
        <is>
          <t>Convert file and folder to NextJS</t>
        </is>
      </c>
      <c r="E17" t="inlineStr">
        <is>
          <t>Convert the dashboard admin</t>
        </is>
      </c>
      <c r="F17" t="inlineStr">
        <is>
          <t>PRJ-3-KPI-3-ST-1</t>
        </is>
      </c>
      <c r="G17" t="inlineStr">
        <is>
          <t>Development</t>
        </is>
      </c>
      <c r="H17" s="3" t="n">
        <v>0.6320833333333333</v>
      </c>
      <c r="I17" s="3" t="n">
        <v>0.7450810185185185</v>
      </c>
      <c r="J17" s="4">
        <f>IF(AND(H17&lt;&gt;"",I17&lt;&gt;""),(I17-H17)*24,"")</f>
        <v/>
      </c>
      <c r="K17" t="inlineStr">
        <is>
          <t>feat: enforce starting subtask only if created + add subtask start command</t>
        </is>
      </c>
      <c r="L17" t="inlineStr">
        <is>
          <t>restroom(48m)</t>
        </is>
      </c>
      <c r="M17">
        <f>IF(C17&lt;&gt;"",C17,M16)</f>
        <v/>
      </c>
      <c r="N17">
        <f>IF(D17&lt;&gt;"",D17,N16)</f>
        <v/>
      </c>
      <c r="O17">
        <f>M17&amp;": "&amp;N17</f>
        <v/>
      </c>
      <c r="P17">
        <f>IF(O17="","",IF(COUNTIF($O$1:O16,O17)=0,MAX($P$1:P16)+1,""))</f>
        <v/>
      </c>
      <c r="Q17">
        <f>IF(A17="","",COUNTIF($A$2:A17,A17))</f>
        <v/>
      </c>
      <c r="R17">
        <f>IF(A17="","",MAX($R$1:R16)+1)</f>
        <v/>
      </c>
    </row>
    <row r="18">
      <c r="A18" s="2" t="n">
        <v>46239</v>
      </c>
      <c r="B18" t="inlineStr">
        <is>
          <t>Wed</t>
        </is>
      </c>
      <c r="C18" t="inlineStr">
        <is>
          <t>web fix</t>
        </is>
      </c>
      <c r="D18" t="inlineStr">
        <is>
          <t>Convert file and folder to NextJS</t>
        </is>
      </c>
      <c r="E18" t="inlineStr">
        <is>
          <t>update the dashboard</t>
        </is>
      </c>
      <c r="F18" t="inlineStr">
        <is>
          <t>PRJ-3-KPI-3-ST-2</t>
        </is>
      </c>
      <c r="G18" t="inlineStr">
        <is>
          <t>Development</t>
        </is>
      </c>
      <c r="H18" s="3" t="n">
        <v>0.3760185185185185</v>
      </c>
      <c r="I18" s="3" t="n">
        <v>0.4633796296296296</v>
      </c>
      <c r="J18" s="4">
        <f>IF(AND(H18&lt;&gt;"",I18&lt;&gt;""),(I18-H18)*24,"")</f>
        <v/>
      </c>
      <c r="K18" t="inlineStr">
        <is>
          <t>fix the tab bar in dashboard</t>
        </is>
      </c>
      <c r="M18">
        <f>IF(C18&lt;&gt;"",C18,M17)</f>
        <v/>
      </c>
      <c r="N18">
        <f>IF(D18&lt;&gt;"",D18,N17)</f>
        <v/>
      </c>
      <c r="O18">
        <f>M18&amp;": "&amp;N18</f>
        <v/>
      </c>
      <c r="P18">
        <f>IF(O18="","",IF(COUNTIF($O$1:O17,O18)=0,MAX($P$1:P17)+1,""))</f>
        <v/>
      </c>
      <c r="Q18">
        <f>IF(A18="","",COUNTIF($A$2:A18,A18))</f>
        <v/>
      </c>
      <c r="R18">
        <f>IF(A18="","",MAX($R$1:R17)+1)</f>
        <v/>
      </c>
    </row>
    <row r="19">
      <c r="A19" s="2" t="n">
        <v>46239</v>
      </c>
      <c r="B19" t="inlineStr">
        <is>
          <t>Wed</t>
        </is>
      </c>
      <c r="C19" t="inlineStr">
        <is>
          <t>web fix</t>
        </is>
      </c>
      <c r="D19" t="inlineStr">
        <is>
          <t>Fix the project web running correct</t>
        </is>
      </c>
      <c r="E19" t="inlineStr">
        <is>
          <t>update the authenticate</t>
        </is>
      </c>
      <c r="F19" t="inlineStr">
        <is>
          <t>PRJ-3-KPI-2-ST-2</t>
        </is>
      </c>
      <c r="G19" t="inlineStr">
        <is>
          <t>Development</t>
        </is>
      </c>
      <c r="H19" s="3" t="n">
        <v>0.609537037037037</v>
      </c>
      <c r="I19" s="3" t="n">
        <v>0.371087962962963</v>
      </c>
      <c r="J19" s="4">
        <f>IF(AND(H19&lt;&gt;"",I19&lt;&gt;""),(I19-H19)*24,"")</f>
        <v/>
      </c>
      <c r="K19" t="inlineStr">
        <is>
          <t>feat: enforce starting subtask only if created + add subtask start command</t>
        </is>
      </c>
      <c r="L19" t="inlineStr">
        <is>
          <t>personal(51m)</t>
        </is>
      </c>
      <c r="M19">
        <f>IF(C19&lt;&gt;"",C19,M18)</f>
        <v/>
      </c>
      <c r="N19">
        <f>IF(D19&lt;&gt;"",D19,N18)</f>
        <v/>
      </c>
      <c r="O19">
        <f>M19&amp;": "&amp;N19</f>
        <v/>
      </c>
      <c r="P19">
        <f>IF(O19="","",IF(COUNTIF($O$1:O18,O19)=0,MAX($P$1:P18)+1,""))</f>
        <v/>
      </c>
      <c r="Q19">
        <f>IF(A19="","",COUNTIF($A$2:A19,A19))</f>
        <v/>
      </c>
      <c r="R19">
        <f>IF(A19="","",MAX($R$1:R18)+1)</f>
        <v/>
      </c>
    </row>
    <row r="20">
      <c r="A20" s="2" t="n">
        <v>46239</v>
      </c>
      <c r="B20" t="inlineStr">
        <is>
          <t>Wed</t>
        </is>
      </c>
      <c r="C20" t="inlineStr">
        <is>
          <t>AI-Airtest</t>
        </is>
      </c>
      <c r="D20" t="inlineStr">
        <is>
          <t>Prompt AI</t>
        </is>
      </c>
      <c r="E20" t="inlineStr">
        <is>
          <t>improve prompt</t>
        </is>
      </c>
      <c r="F20" t="inlineStr">
        <is>
          <t>PRJ-1-KPI-2-ST-2</t>
        </is>
      </c>
      <c r="G20" t="inlineStr">
        <is>
          <t>Development</t>
        </is>
      </c>
      <c r="H20" s="3" t="n">
        <v>0.6096990740740741</v>
      </c>
      <c r="I20" s="3" t="n">
        <v>0.3712615740740741</v>
      </c>
      <c r="J20" s="4">
        <f>IF(AND(H20&lt;&gt;"",I20&lt;&gt;""),(I20-H20)*24,"")</f>
        <v/>
      </c>
      <c r="K20" t="inlineStr">
        <is>
          <t>cut off in code mcp</t>
        </is>
      </c>
      <c r="L20" t="inlineStr">
        <is>
          <t>personal(51m)</t>
        </is>
      </c>
      <c r="M20">
        <f>IF(C20&lt;&gt;"",C20,M19)</f>
        <v/>
      </c>
      <c r="N20">
        <f>IF(D20&lt;&gt;"",D20,N19)</f>
        <v/>
      </c>
      <c r="O20">
        <f>M20&amp;": "&amp;N20</f>
        <v/>
      </c>
      <c r="P20">
        <f>IF(O20="","",IF(COUNTIF($O$1:O19,O20)=0,MAX($P$1:P19)+1,""))</f>
        <v/>
      </c>
      <c r="Q20">
        <f>IF(A20="","",COUNTIF($A$2:A20,A20))</f>
        <v/>
      </c>
      <c r="R20">
        <f>IF(A20="","",MAX($R$1:R19)+1)</f>
        <v/>
      </c>
    </row>
    <row r="21">
      <c r="A21" s="2" t="n">
        <v>46240</v>
      </c>
      <c r="B21" t="inlineStr">
        <is>
          <t>Thu</t>
        </is>
      </c>
      <c r="C21" t="inlineStr">
        <is>
          <t>web fix</t>
        </is>
      </c>
      <c r="D21" t="inlineStr">
        <is>
          <t>Fix the project web running correct</t>
        </is>
      </c>
      <c r="E21" t="inlineStr">
        <is>
          <t>Add tab analystic in dashboard</t>
        </is>
      </c>
      <c r="F21" t="inlineStr">
        <is>
          <t>PRJ-3-KPI-2-ST-3</t>
        </is>
      </c>
      <c r="G21" t="inlineStr">
        <is>
          <t>Development</t>
        </is>
      </c>
      <c r="H21" s="3" t="n">
        <v>0.5642361111111112</v>
      </c>
      <c r="I21" s="3" t="n">
        <v>0.4383564814814815</v>
      </c>
      <c r="J21" s="4">
        <f>IF(AND(H21&lt;&gt;"",I21&lt;&gt;""),(I21-H21)*24,"")</f>
        <v/>
      </c>
      <c r="K21" t="inlineStr">
        <is>
          <t>feat: enforce starting subtask only if created + add subtask start command</t>
        </is>
      </c>
      <c r="L21" t="inlineStr">
        <is>
          <t>Break to rest in middle(141m)</t>
        </is>
      </c>
      <c r="M21">
        <f>IF(C21&lt;&gt;"",C21,M20)</f>
        <v/>
      </c>
      <c r="N21">
        <f>IF(D21&lt;&gt;"",D21,N20)</f>
        <v/>
      </c>
      <c r="O21">
        <f>M21&amp;": "&amp;N21</f>
        <v/>
      </c>
      <c r="P21">
        <f>IF(O21="","",IF(COUNTIF($O$1:O20,O21)=0,MAX($P$1:P20)+1,""))</f>
        <v/>
      </c>
      <c r="Q21">
        <f>IF(A21="","",COUNTIF($A$2:A21,A21))</f>
        <v/>
      </c>
      <c r="R21">
        <f>IF(A21="","",MAX($R$1:R20)+1)</f>
        <v/>
      </c>
    </row>
    <row r="22">
      <c r="A22" s="2" t="n">
        <v>46244</v>
      </c>
      <c r="B22" t="inlineStr">
        <is>
          <t>Mon</t>
        </is>
      </c>
      <c r="C22" t="inlineStr">
        <is>
          <t>AI-Airtest</t>
        </is>
      </c>
      <c r="D22" t="inlineStr">
        <is>
          <t>Prompt AI</t>
        </is>
      </c>
      <c r="E22" t="inlineStr">
        <is>
          <t>Fix the memory AI</t>
        </is>
      </c>
      <c r="F22" t="inlineStr">
        <is>
          <t>PRJ-1-KPI-2-ST-3</t>
        </is>
      </c>
      <c r="G22" t="inlineStr">
        <is>
          <t>Development</t>
        </is>
      </c>
      <c r="H22" s="3" t="n">
        <v>0.299849537037037</v>
      </c>
      <c r="I22" s="3" t="n">
        <v>0.472974537037037</v>
      </c>
      <c r="J22" s="4">
        <f>IF(AND(H22&lt;&gt;"",I22&lt;&gt;""),(I22-H22)*24,"")</f>
        <v/>
      </c>
      <c r="K22" t="inlineStr">
        <is>
          <t>feat: enforce starting subtask only if created + add subtask start command</t>
        </is>
      </c>
      <c r="L22" t="inlineStr">
        <is>
          <t>Out of token for the week(140m); Out of token for the week(5514m); use phone(0m)</t>
        </is>
      </c>
      <c r="M22">
        <f>IF(C22&lt;&gt;"",C22,M21)</f>
        <v/>
      </c>
      <c r="N22">
        <f>IF(D22&lt;&gt;"",D22,N21)</f>
        <v/>
      </c>
      <c r="O22">
        <f>M22&amp;": "&amp;N22</f>
        <v/>
      </c>
      <c r="P22">
        <f>IF(O22="","",IF(COUNTIF($O$1:O21,O22)=0,MAX($P$1:P21)+1,""))</f>
        <v/>
      </c>
      <c r="Q22">
        <f>IF(A22="","",COUNTIF($A$2:A22,A22))</f>
        <v/>
      </c>
      <c r="R22">
        <f>IF(A22="","",MAX($R$1:R21)+1)</f>
        <v/>
      </c>
    </row>
    <row r="23">
      <c r="A23" s="2" t="n">
        <v>46244</v>
      </c>
      <c r="B23" t="inlineStr">
        <is>
          <t>Mon</t>
        </is>
      </c>
      <c r="C23" t="inlineStr">
        <is>
          <t>web fix</t>
        </is>
      </c>
      <c r="D23" t="inlineStr">
        <is>
          <t>Convert file and folder to NextJS</t>
        </is>
      </c>
      <c r="E23" t="inlineStr">
        <is>
          <t>debug client</t>
        </is>
      </c>
      <c r="F23" t="inlineStr">
        <is>
          <t>PRJ-3-KPI-3-ST-3</t>
        </is>
      </c>
      <c r="G23" t="inlineStr">
        <is>
          <t>Debug</t>
        </is>
      </c>
      <c r="H23" s="3" t="n">
        <v>0.1025578703703704</v>
      </c>
      <c r="I23" s="3" t="n">
        <v>0.4733912037037037</v>
      </c>
      <c r="J23" s="4">
        <f>IF(AND(H23&lt;&gt;"",I23&lt;&gt;""),(I23-H23)*24,"")</f>
        <v/>
      </c>
      <c r="K23" t="inlineStr">
        <is>
          <t>Add breakpoint to debug the client</t>
        </is>
      </c>
      <c r="L23" t="inlineStr">
        <is>
          <t>off work(3833m); use phone(1m)</t>
        </is>
      </c>
      <c r="M23">
        <f>IF(C23&lt;&gt;"",C23,M22)</f>
        <v/>
      </c>
      <c r="N23">
        <f>IF(D23&lt;&gt;"",D23,N22)</f>
        <v/>
      </c>
      <c r="O23">
        <f>M23&amp;": "&amp;N23</f>
        <v/>
      </c>
      <c r="P23">
        <f>IF(O23="","",IF(COUNTIF($O$1:O22,O23)=0,MAX($P$1:P22)+1,""))</f>
        <v/>
      </c>
      <c r="Q23">
        <f>IF(A23="","",COUNTIF($A$2:A23,A23))</f>
        <v/>
      </c>
      <c r="R23">
        <f>IF(A23="","",MAX($R$1:R22)+1)</f>
        <v/>
      </c>
    </row>
    <row r="24">
      <c r="A24" s="2" t="n">
        <v>46244</v>
      </c>
      <c r="B24" t="inlineStr">
        <is>
          <t>Mon</t>
        </is>
      </c>
      <c r="C24" t="inlineStr">
        <is>
          <t>AI-Airtest</t>
        </is>
      </c>
      <c r="D24" t="inlineStr">
        <is>
          <t>Prompt AI</t>
        </is>
      </c>
      <c r="E24" t="inlineStr">
        <is>
          <t>coding MCP tree and file base</t>
        </is>
      </c>
      <c r="F24" t="inlineStr">
        <is>
          <t>PRJ-1-KPI-2-ST-4</t>
        </is>
      </c>
      <c r="G24" t="inlineStr">
        <is>
          <t>Development</t>
        </is>
      </c>
      <c r="H24" s="3" t="n">
        <v>0.03987268518518518</v>
      </c>
      <c r="I24" s="3" t="n">
        <v>0.4734953703703704</v>
      </c>
      <c r="J24" s="4">
        <f>IF(AND(H24&lt;&gt;"",I24&lt;&gt;""),(I24-H24)*24,"")</f>
        <v/>
      </c>
      <c r="K24" t="inlineStr">
        <is>
          <t>change the core MCP to lowest context</t>
        </is>
      </c>
      <c r="L24" t="inlineStr">
        <is>
          <t>end workday(921m); break(3945m)</t>
        </is>
      </c>
      <c r="M24">
        <f>IF(C24&lt;&gt;"",C24,M23)</f>
        <v/>
      </c>
      <c r="N24">
        <f>IF(D24&lt;&gt;"",D24,N23)</f>
        <v/>
      </c>
      <c r="O24">
        <f>M24&amp;": "&amp;N24</f>
        <v/>
      </c>
      <c r="P24">
        <f>IF(O24="","",IF(COUNTIF($O$1:O23,O24)=0,MAX($P$1:P23)+1,""))</f>
        <v/>
      </c>
      <c r="Q24">
        <f>IF(A24="","",COUNTIF($A$2:A24,A24))</f>
        <v/>
      </c>
      <c r="R24">
        <f>IF(A24="","",MAX($R$1:R23)+1)</f>
        <v/>
      </c>
    </row>
    <row r="25">
      <c r="A25" s="2" t="n">
        <v>46245</v>
      </c>
      <c r="B25" t="inlineStr">
        <is>
          <t>Tue</t>
        </is>
      </c>
      <c r="C25" t="inlineStr">
        <is>
          <t>web fix</t>
        </is>
      </c>
      <c r="D25" t="inlineStr">
        <is>
          <t>Fix the project web running correct</t>
        </is>
      </c>
      <c r="E25" t="inlineStr">
        <is>
          <t>finish admin function: [chapter, tag, slug, author]</t>
        </is>
      </c>
      <c r="F25" t="inlineStr">
        <is>
          <t>PRJ-3-KPI-2-ST-5</t>
        </is>
      </c>
      <c r="G25" t="inlineStr">
        <is>
          <t>Development</t>
        </is>
      </c>
      <c r="H25" s="3" t="n">
        <v>0.4124074074074074</v>
      </c>
      <c r="I25" s="3" t="n">
        <v>0.4782175925925926</v>
      </c>
      <c r="J25" s="4">
        <f>IF(AND(H25&lt;&gt;"",I25&lt;&gt;""),(I25-H25)*24,"")</f>
        <v/>
      </c>
      <c r="K25" t="inlineStr">
        <is>
          <t>Work completed</t>
        </is>
      </c>
      <c r="M25">
        <f>IF(C25&lt;&gt;"",C25,M24)</f>
        <v/>
      </c>
      <c r="N25">
        <f>IF(D25&lt;&gt;"",D25,N24)</f>
        <v/>
      </c>
      <c r="O25">
        <f>M25&amp;": "&amp;N25</f>
        <v/>
      </c>
      <c r="P25">
        <f>IF(O25="","",IF(COUNTIF($O$1:O24,O25)=0,MAX($P$1:P24)+1,""))</f>
        <v/>
      </c>
      <c r="Q25">
        <f>IF(A25="","",COUNTIF($A$2:A25,A25))</f>
        <v/>
      </c>
      <c r="R25">
        <f>IF(A25="","",MAX($R$1:R24)+1)</f>
        <v/>
      </c>
    </row>
    <row r="26">
      <c r="A26" s="2" t="n">
        <v>46245</v>
      </c>
      <c r="B26" t="inlineStr">
        <is>
          <t>Tue</t>
        </is>
      </c>
      <c r="C26" t="inlineStr">
        <is>
          <t>AI-Airtest</t>
        </is>
      </c>
      <c r="D26" t="inlineStr">
        <is>
          <t>Prompt AI</t>
        </is>
      </c>
      <c r="E26" t="inlineStr">
        <is>
          <t>change the MCP code base</t>
        </is>
      </c>
      <c r="F26" t="inlineStr">
        <is>
          <t>PRJ-1-KPI-2-ST-5</t>
        </is>
      </c>
      <c r="G26" t="inlineStr">
        <is>
          <t>BUG</t>
        </is>
      </c>
      <c r="H26" s="3" t="n">
        <v>0.4125925925925926</v>
      </c>
      <c r="I26" s="3" t="n">
        <v>0.4790162037037037</v>
      </c>
      <c r="J26" s="4">
        <f>IF(AND(H26&lt;&gt;"",I26&lt;&gt;""),(I26-H26)*24,"")</f>
        <v/>
      </c>
      <c r="K26" t="inlineStr">
        <is>
          <t>the prompt and folder structure hasbeen change, need to change the old code to correct and add missing in lib airtest</t>
        </is>
      </c>
      <c r="L26" t="inlineStr">
        <is>
          <t>review(108m); end of the day(989m)</t>
        </is>
      </c>
      <c r="M26">
        <f>IF(C26&lt;&gt;"",C26,M25)</f>
        <v/>
      </c>
      <c r="N26">
        <f>IF(D26&lt;&gt;"",D26,N25)</f>
        <v/>
      </c>
      <c r="O26">
        <f>M26&amp;": "&amp;N26</f>
        <v/>
      </c>
      <c r="P26">
        <f>IF(O26="","",IF(COUNTIF($O$1:O25,O26)=0,MAX($P$1:P25)+1,""))</f>
        <v/>
      </c>
      <c r="Q26">
        <f>IF(A26="","",COUNTIF($A$2:A26,A26))</f>
        <v/>
      </c>
      <c r="R26">
        <f>IF(A26="","",MAX($R$1:R25)+1)</f>
        <v/>
      </c>
    </row>
    <row r="27">
      <c r="A27" s="2" t="n">
        <v>46244</v>
      </c>
      <c r="B27" t="inlineStr">
        <is>
          <t>Mon</t>
        </is>
      </c>
      <c r="C27" t="inlineStr">
        <is>
          <t>AI-Airtest</t>
        </is>
      </c>
      <c r="D27" t="inlineStr">
        <is>
          <t>Fix the project web running correct</t>
        </is>
      </c>
      <c r="E27" t="inlineStr">
        <is>
          <t>sync with the server</t>
        </is>
      </c>
      <c r="F27" t="inlineStr">
        <is>
          <t>PRJ-3-KPI-2-ST-4</t>
        </is>
      </c>
      <c r="G27" t="inlineStr">
        <is>
          <t>Development</t>
        </is>
      </c>
      <c r="H27" s="3" t="n">
        <v>0.4740277777777778</v>
      </c>
      <c r="I27" s="3" t="n">
        <v>0.4806481481481482</v>
      </c>
      <c r="J27" s="4">
        <f>IF(AND(H27&lt;&gt;"",I27&lt;&gt;""),(I27-H27)*24,"")</f>
        <v/>
      </c>
      <c r="K27" t="inlineStr">
        <is>
          <t>Work completed</t>
        </is>
      </c>
      <c r="M27">
        <f>IF(C27&lt;&gt;"",C27,M26)</f>
        <v/>
      </c>
      <c r="N27">
        <f>IF(D27&lt;&gt;"",D27,N26)</f>
        <v/>
      </c>
      <c r="O27">
        <f>M27&amp;": "&amp;N27</f>
        <v/>
      </c>
      <c r="P27">
        <f>IF(O27="","",IF(COUNTIF($O$1:O26,O27)=0,MAX($P$1:P26)+1,""))</f>
        <v/>
      </c>
      <c r="Q27">
        <f>IF(A27="","",COUNTIF($A$2:A27,A27))</f>
        <v/>
      </c>
      <c r="R27">
        <f>IF(A27="","",MAX($R$1:R26)+1)</f>
        <v/>
      </c>
    </row>
    <row r="28">
      <c r="A28" s="2" t="n">
        <v>46246</v>
      </c>
      <c r="B28" t="inlineStr">
        <is>
          <t>Wed</t>
        </is>
      </c>
      <c r="C28" t="inlineStr">
        <is>
          <t>Comic web</t>
        </is>
      </c>
      <c r="D28" t="inlineStr">
        <is>
          <t>Admin dashboard update</t>
        </is>
      </c>
      <c r="E28" t="inlineStr">
        <is>
          <t>Update report bug analytics Sentry</t>
        </is>
      </c>
      <c r="F28" t="inlineStr">
        <is>
          <t>PRJ-5-KPI-2-ST-1</t>
        </is>
      </c>
      <c r="G28" t="inlineStr">
        <is>
          <t>Dev</t>
        </is>
      </c>
      <c r="H28" s="3" t="n">
        <v>0.5928356481481482</v>
      </c>
      <c r="I28" s="3" t="n">
        <v>0.5945601851851852</v>
      </c>
      <c r="J28" s="4">
        <f>IF(AND(H28&lt;&gt;"",I28&lt;&gt;""),(I28-H28)*24,"")</f>
        <v/>
      </c>
      <c r="K28" t="inlineStr">
        <is>
          <t>[HuyDD] Update the view and check in local to improve data view</t>
        </is>
      </c>
      <c r="M28">
        <f>IF(C28&lt;&gt;"",C28,M27)</f>
        <v/>
      </c>
      <c r="N28">
        <f>IF(D28&lt;&gt;"",D28,N27)</f>
        <v/>
      </c>
      <c r="O28">
        <f>M28&amp;": "&amp;N28</f>
        <v/>
      </c>
      <c r="P28">
        <f>IF(O28="","",IF(COUNTIF($O$1:O27,O28)=0,MAX($P$1:P27)+1,""))</f>
        <v/>
      </c>
      <c r="Q28">
        <f>IF(A28="","",COUNTIF($A$2:A28,A28))</f>
        <v/>
      </c>
      <c r="R28">
        <f>IF(A28="","",MAX($R$1:R27)+1)</f>
        <v/>
      </c>
    </row>
    <row r="29">
      <c r="A29" s="2" t="n">
        <v>46246</v>
      </c>
      <c r="B29" t="inlineStr">
        <is>
          <t>Wed</t>
        </is>
      </c>
      <c r="C29" t="inlineStr">
        <is>
          <t>Comic web</t>
        </is>
      </c>
      <c r="D29" t="inlineStr">
        <is>
          <t>Admin dashboard update</t>
        </is>
      </c>
      <c r="E29" t="inlineStr">
        <is>
          <t>Update report bug analytics Sentry</t>
        </is>
      </c>
      <c r="F29" t="inlineStr">
        <is>
          <t>PRJ-5-KPI-2-ST-1</t>
        </is>
      </c>
      <c r="G29" t="inlineStr">
        <is>
          <t>Dev</t>
        </is>
      </c>
      <c r="H29" s="3" t="n">
        <v>0.4781018518518518</v>
      </c>
      <c r="I29" s="3" t="n">
        <v>0.5948263888888888</v>
      </c>
      <c r="J29" s="4">
        <f>IF(AND(H29&lt;&gt;"",I29&lt;&gt;""),(I29-H29)*24,"")</f>
        <v/>
      </c>
      <c r="K29" t="inlineStr">
        <is>
          <t>[HuyDD] Update the view and check in local to improve data view</t>
        </is>
      </c>
      <c r="M29">
        <f>IF(C29&lt;&gt;"",C29,M28)</f>
        <v/>
      </c>
      <c r="N29">
        <f>IF(D29&lt;&gt;"",D29,N28)</f>
        <v/>
      </c>
      <c r="O29">
        <f>M29&amp;": "&amp;N29</f>
        <v/>
      </c>
      <c r="P29">
        <f>IF(O29="","",IF(COUNTIF($O$1:O28,O29)=0,MAX($P$1:P28)+1,""))</f>
        <v/>
      </c>
      <c r="Q29">
        <f>IF(A29="","",COUNTIF($A$2:A29,A29))</f>
        <v/>
      </c>
      <c r="R29">
        <f>IF(A29="","",MAX($R$1:R28)+1)</f>
        <v/>
      </c>
    </row>
    <row r="30">
      <c r="A30" s="2" t="n"/>
      <c r="H30" s="3" t="n"/>
      <c r="I30" s="3" t="n"/>
      <c r="J30" s="4">
        <f>IF(AND(H30&lt;&gt;"",I30&lt;&gt;""),(I30-H30)*24,"")</f>
        <v/>
      </c>
      <c r="M30">
        <f>IF(C30&lt;&gt;"",C30,M29)</f>
        <v/>
      </c>
      <c r="N30">
        <f>IF(D30&lt;&gt;"",D30,N29)</f>
        <v/>
      </c>
      <c r="O30">
        <f>M30&amp;": "&amp;N30</f>
        <v/>
      </c>
      <c r="P30">
        <f>IF(O30="","",IF(COUNTIF($O$1:O29,O30)=0,MAX($P$1:P29)+1,""))</f>
        <v/>
      </c>
      <c r="Q30">
        <f>IF(A30="","",COUNTIF($A$2:A30,A30))</f>
        <v/>
      </c>
      <c r="R30">
        <f>IF(A30="","",MAX($R$1:R29)+1)</f>
        <v/>
      </c>
    </row>
    <row r="31">
      <c r="A31" s="2" t="n"/>
      <c r="H31" s="3" t="n"/>
      <c r="I31" s="3" t="n"/>
      <c r="J31" s="4">
        <f>IF(AND(H31&lt;&gt;"",I31&lt;&gt;""),(I31-H31)*24,"")</f>
        <v/>
      </c>
      <c r="M31">
        <f>IF(C31&lt;&gt;"",C31,M30)</f>
        <v/>
      </c>
      <c r="N31">
        <f>IF(D31&lt;&gt;"",D31,N30)</f>
        <v/>
      </c>
      <c r="O31">
        <f>M31&amp;": "&amp;N31</f>
        <v/>
      </c>
      <c r="P31">
        <f>IF(O31="","",IF(COUNTIF($O$1:O30,O31)=0,MAX($P$1:P30)+1,""))</f>
        <v/>
      </c>
      <c r="Q31">
        <f>IF(A31="","",COUNTIF($A$2:A31,A31))</f>
        <v/>
      </c>
      <c r="R31">
        <f>IF(A31="","",MAX($R$1:R30)+1)</f>
        <v/>
      </c>
    </row>
    <row r="32">
      <c r="A32" s="2" t="n"/>
      <c r="H32" s="3" t="n"/>
      <c r="I32" s="3" t="n"/>
      <c r="J32" s="4">
        <f>IF(AND(H32&lt;&gt;"",I32&lt;&gt;""),(I32-H32)*24,"")</f>
        <v/>
      </c>
      <c r="M32">
        <f>IF(C32&lt;&gt;"",C32,M31)</f>
        <v/>
      </c>
      <c r="N32">
        <f>IF(D32&lt;&gt;"",D32,N31)</f>
        <v/>
      </c>
      <c r="O32">
        <f>M32&amp;": "&amp;N32</f>
        <v/>
      </c>
      <c r="P32">
        <f>IF(O32="","",IF(COUNTIF($O$1:O31,O32)=0,MAX($P$1:P31)+1,""))</f>
        <v/>
      </c>
      <c r="Q32">
        <f>IF(A32="","",COUNTIF($A$2:A32,A32))</f>
        <v/>
      </c>
      <c r="R32">
        <f>IF(A32="","",MAX($R$1:R31)+1)</f>
        <v/>
      </c>
    </row>
    <row r="33">
      <c r="A33" s="2" t="n"/>
      <c r="H33" s="3" t="n"/>
      <c r="I33" s="3" t="n"/>
      <c r="J33" s="4">
        <f>IF(AND(H33&lt;&gt;"",I33&lt;&gt;""),(I33-H33)*24,"")</f>
        <v/>
      </c>
      <c r="M33">
        <f>IF(C33&lt;&gt;"",C33,M32)</f>
        <v/>
      </c>
      <c r="N33">
        <f>IF(D33&lt;&gt;"",D33,N32)</f>
        <v/>
      </c>
      <c r="O33">
        <f>M33&amp;": "&amp;N33</f>
        <v/>
      </c>
      <c r="P33">
        <f>IF(O33="","",IF(COUNTIF($O$1:O32,O33)=0,MAX($P$1:P32)+1,""))</f>
        <v/>
      </c>
      <c r="Q33">
        <f>IF(A33="","",COUNTIF($A$2:A33,A33))</f>
        <v/>
      </c>
      <c r="R33">
        <f>IF(A33="","",MAX($R$1:R32)+1)</f>
        <v/>
      </c>
    </row>
    <row r="34">
      <c r="A34" s="2" t="n"/>
      <c r="H34" s="3" t="n"/>
      <c r="I34" s="3" t="n"/>
      <c r="J34" s="4">
        <f>IF(AND(H34&lt;&gt;"",I34&lt;&gt;""),(I34-H34)*24,"")</f>
        <v/>
      </c>
      <c r="M34">
        <f>IF(C34&lt;&gt;"",C34,M33)</f>
        <v/>
      </c>
      <c r="N34">
        <f>IF(D34&lt;&gt;"",D34,N33)</f>
        <v/>
      </c>
      <c r="O34">
        <f>M34&amp;": "&amp;N34</f>
        <v/>
      </c>
      <c r="P34">
        <f>IF(O34="","",IF(COUNTIF($O$1:O33,O34)=0,MAX($P$1:P33)+1,""))</f>
        <v/>
      </c>
      <c r="Q34">
        <f>IF(A34="","",COUNTIF($A$2:A34,A34))</f>
        <v/>
      </c>
      <c r="R34">
        <f>IF(A34="","",MAX($R$1:R33)+1)</f>
        <v/>
      </c>
    </row>
    <row r="35">
      <c r="A35" s="2" t="n"/>
      <c r="H35" s="3" t="n"/>
      <c r="I35" s="3" t="n"/>
      <c r="J35" s="4">
        <f>IF(AND(H35&lt;&gt;"",I35&lt;&gt;""),(I35-H35)*24,"")</f>
        <v/>
      </c>
      <c r="M35">
        <f>IF(C35&lt;&gt;"",C35,M34)</f>
        <v/>
      </c>
      <c r="N35">
        <f>IF(D35&lt;&gt;"",D35,N34)</f>
        <v/>
      </c>
      <c r="O35">
        <f>M35&amp;": "&amp;N35</f>
        <v/>
      </c>
      <c r="P35">
        <f>IF(O35="","",IF(COUNTIF($O$1:O34,O35)=0,MAX($P$1:P34)+1,""))</f>
        <v/>
      </c>
      <c r="Q35">
        <f>IF(A35="","",COUNTIF($A$2:A35,A35))</f>
        <v/>
      </c>
      <c r="R35">
        <f>IF(A35="","",MAX($R$1:R34)+1)</f>
        <v/>
      </c>
    </row>
    <row r="36">
      <c r="A36" s="2" t="n"/>
      <c r="H36" s="3" t="n"/>
      <c r="I36" s="3" t="n"/>
      <c r="J36" s="4">
        <f>IF(AND(H36&lt;&gt;"",I36&lt;&gt;""),(I36-H36)*24,"")</f>
        <v/>
      </c>
      <c r="M36">
        <f>IF(C36&lt;&gt;"",C36,M35)</f>
        <v/>
      </c>
      <c r="N36">
        <f>IF(D36&lt;&gt;"",D36,N35)</f>
        <v/>
      </c>
      <c r="O36">
        <f>M36&amp;": "&amp;N36</f>
        <v/>
      </c>
      <c r="P36">
        <f>IF(O36="","",IF(COUNTIF($O$1:O35,O36)=0,MAX($P$1:P35)+1,""))</f>
        <v/>
      </c>
      <c r="Q36">
        <f>IF(A36="","",COUNTIF($A$2:A36,A36))</f>
        <v/>
      </c>
      <c r="R36">
        <f>IF(A36="","",MAX($R$1:R35)+1)</f>
        <v/>
      </c>
    </row>
    <row r="37">
      <c r="A37" s="2" t="n"/>
      <c r="H37" s="3" t="n"/>
      <c r="I37" s="3" t="n"/>
      <c r="J37" s="4">
        <f>IF(AND(H37&lt;&gt;"",I37&lt;&gt;""),(I37-H37)*24,"")</f>
        <v/>
      </c>
      <c r="M37">
        <f>IF(C37&lt;&gt;"",C37,M36)</f>
        <v/>
      </c>
      <c r="N37">
        <f>IF(D37&lt;&gt;"",D37,N36)</f>
        <v/>
      </c>
      <c r="O37">
        <f>M37&amp;": "&amp;N37</f>
        <v/>
      </c>
      <c r="P37">
        <f>IF(O37="","",IF(COUNTIF($O$1:O36,O37)=0,MAX($P$1:P36)+1,""))</f>
        <v/>
      </c>
      <c r="Q37">
        <f>IF(A37="","",COUNTIF($A$2:A37,A37))</f>
        <v/>
      </c>
      <c r="R37">
        <f>IF(A37="","",MAX($R$1:R36)+1)</f>
        <v/>
      </c>
    </row>
    <row r="38">
      <c r="A38" s="2" t="n"/>
      <c r="H38" s="3" t="n"/>
      <c r="I38" s="3" t="n"/>
      <c r="J38" s="4">
        <f>IF(AND(H38&lt;&gt;"",I38&lt;&gt;""),(I38-H38)*24,"")</f>
        <v/>
      </c>
      <c r="M38">
        <f>IF(C38&lt;&gt;"",C38,M37)</f>
        <v/>
      </c>
      <c r="N38">
        <f>IF(D38&lt;&gt;"",D38,N37)</f>
        <v/>
      </c>
      <c r="O38">
        <f>M38&amp;": "&amp;N38</f>
        <v/>
      </c>
      <c r="P38">
        <f>IF(O38="","",IF(COUNTIF($O$1:O37,O38)=0,MAX($P$1:P37)+1,""))</f>
        <v/>
      </c>
      <c r="Q38">
        <f>IF(A38="","",COUNTIF($A$2:A38,A38))</f>
        <v/>
      </c>
      <c r="R38">
        <f>IF(A38="","",MAX($R$1:R37)+1)</f>
        <v/>
      </c>
    </row>
    <row r="39">
      <c r="A39" s="2" t="n"/>
      <c r="H39" s="3" t="n"/>
      <c r="I39" s="3" t="n"/>
      <c r="J39" s="4">
        <f>IF(AND(H39&lt;&gt;"",I39&lt;&gt;""),(I39-H39)*24,"")</f>
        <v/>
      </c>
      <c r="M39">
        <f>IF(C39&lt;&gt;"",C39,M38)</f>
        <v/>
      </c>
      <c r="N39">
        <f>IF(D39&lt;&gt;"",D39,N38)</f>
        <v/>
      </c>
      <c r="O39">
        <f>M39&amp;": "&amp;N39</f>
        <v/>
      </c>
      <c r="P39">
        <f>IF(O39="","",IF(COUNTIF($O$1:O38,O39)=0,MAX($P$1:P38)+1,""))</f>
        <v/>
      </c>
      <c r="Q39">
        <f>IF(A39="","",COUNTIF($A$2:A39,A39))</f>
        <v/>
      </c>
      <c r="R39">
        <f>IF(A39="","",MAX($R$1:R38)+1)</f>
        <v/>
      </c>
    </row>
    <row r="40">
      <c r="A40" s="2" t="n"/>
      <c r="H40" s="3" t="n"/>
      <c r="I40" s="3" t="n"/>
      <c r="J40" s="4">
        <f>IF(AND(H40&lt;&gt;"",I40&lt;&gt;""),(I40-H40)*24,"")</f>
        <v/>
      </c>
      <c r="M40">
        <f>IF(C40&lt;&gt;"",C40,M39)</f>
        <v/>
      </c>
      <c r="N40">
        <f>IF(D40&lt;&gt;"",D40,N39)</f>
        <v/>
      </c>
      <c r="O40">
        <f>M40&amp;": "&amp;N40</f>
        <v/>
      </c>
      <c r="P40">
        <f>IF(O40="","",IF(COUNTIF($O$1:O39,O40)=0,MAX($P$1:P39)+1,""))</f>
        <v/>
      </c>
      <c r="Q40">
        <f>IF(A40="","",COUNTIF($A$2:A40,A40))</f>
        <v/>
      </c>
      <c r="R40">
        <f>IF(A40="","",MAX($R$1:R39)+1)</f>
        <v/>
      </c>
    </row>
    <row r="41">
      <c r="A41" s="2" t="n"/>
      <c r="H41" s="3" t="n"/>
      <c r="I41" s="3" t="n"/>
      <c r="J41" s="4">
        <f>IF(AND(H41&lt;&gt;"",I41&lt;&gt;""),(I41-H41)*24,"")</f>
        <v/>
      </c>
      <c r="M41">
        <f>IF(C41&lt;&gt;"",C41,M40)</f>
        <v/>
      </c>
      <c r="N41">
        <f>IF(D41&lt;&gt;"",D41,N40)</f>
        <v/>
      </c>
      <c r="O41">
        <f>M41&amp;": "&amp;N41</f>
        <v/>
      </c>
      <c r="P41">
        <f>IF(O41="","",IF(COUNTIF($O$1:O40,O41)=0,MAX($P$1:P40)+1,""))</f>
        <v/>
      </c>
      <c r="Q41">
        <f>IF(A41="","",COUNTIF($A$2:A41,A41))</f>
        <v/>
      </c>
      <c r="R41">
        <f>IF(A41="","",MAX($R$1:R40)+1)</f>
        <v/>
      </c>
    </row>
    <row r="42">
      <c r="A42" s="2" t="n"/>
      <c r="H42" s="3" t="n"/>
      <c r="I42" s="3" t="n"/>
      <c r="J42" s="4">
        <f>IF(AND(H42&lt;&gt;"",I42&lt;&gt;""),(I42-H42)*24,"")</f>
        <v/>
      </c>
      <c r="M42">
        <f>IF(C42&lt;&gt;"",C42,M41)</f>
        <v/>
      </c>
      <c r="N42">
        <f>IF(D42&lt;&gt;"",D42,N41)</f>
        <v/>
      </c>
      <c r="O42">
        <f>M42&amp;": "&amp;N42</f>
        <v/>
      </c>
      <c r="P42">
        <f>IF(O42="","",IF(COUNTIF($O$1:O41,O42)=0,MAX($P$1:P41)+1,""))</f>
        <v/>
      </c>
      <c r="Q42">
        <f>IF(A42="","",COUNTIF($A$2:A42,A42))</f>
        <v/>
      </c>
      <c r="R42">
        <f>IF(A42="","",MAX($R$1:R41)+1)</f>
        <v/>
      </c>
    </row>
    <row r="43">
      <c r="A43" s="2" t="n"/>
      <c r="H43" s="3" t="n"/>
      <c r="I43" s="3" t="n"/>
      <c r="J43" s="4">
        <f>IF(AND(H43&lt;&gt;"",I43&lt;&gt;""),(I43-H43)*24,"")</f>
        <v/>
      </c>
      <c r="M43">
        <f>IF(C43&lt;&gt;"",C43,M42)</f>
        <v/>
      </c>
      <c r="N43">
        <f>IF(D43&lt;&gt;"",D43,N42)</f>
        <v/>
      </c>
      <c r="O43">
        <f>M43&amp;": "&amp;N43</f>
        <v/>
      </c>
      <c r="P43">
        <f>IF(O43="","",IF(COUNTIF($O$1:O42,O43)=0,MAX($P$1:P42)+1,""))</f>
        <v/>
      </c>
      <c r="Q43">
        <f>IF(A43="","",COUNTIF($A$2:A43,A43))</f>
        <v/>
      </c>
      <c r="R43">
        <f>IF(A43="","",MAX($R$1:R42)+1)</f>
        <v/>
      </c>
    </row>
    <row r="44">
      <c r="A44" s="2" t="n"/>
      <c r="H44" s="3" t="n"/>
      <c r="I44" s="3" t="n"/>
      <c r="J44" s="4">
        <f>IF(AND(H44&lt;&gt;"",I44&lt;&gt;""),(I44-H44)*24,"")</f>
        <v/>
      </c>
      <c r="M44">
        <f>IF(C44&lt;&gt;"",C44,M43)</f>
        <v/>
      </c>
      <c r="N44">
        <f>IF(D44&lt;&gt;"",D44,N43)</f>
        <v/>
      </c>
      <c r="O44">
        <f>M44&amp;": "&amp;N44</f>
        <v/>
      </c>
      <c r="P44">
        <f>IF(O44="","",IF(COUNTIF($O$1:O43,O44)=0,MAX($P$1:P43)+1,""))</f>
        <v/>
      </c>
      <c r="Q44">
        <f>IF(A44="","",COUNTIF($A$2:A44,A44))</f>
        <v/>
      </c>
      <c r="R44">
        <f>IF(A44="","",MAX($R$1:R43)+1)</f>
        <v/>
      </c>
    </row>
    <row r="45">
      <c r="A45" s="2" t="n"/>
      <c r="H45" s="3" t="n"/>
      <c r="I45" s="3" t="n"/>
      <c r="J45" s="4">
        <f>IF(AND(H45&lt;&gt;"",I45&lt;&gt;""),(I45-H45)*24,"")</f>
        <v/>
      </c>
      <c r="M45">
        <f>IF(C45&lt;&gt;"",C45,M44)</f>
        <v/>
      </c>
      <c r="N45">
        <f>IF(D45&lt;&gt;"",D45,N44)</f>
        <v/>
      </c>
      <c r="O45">
        <f>M45&amp;": "&amp;N45</f>
        <v/>
      </c>
      <c r="P45">
        <f>IF(O45="","",IF(COUNTIF($O$1:O44,O45)=0,MAX($P$1:P44)+1,""))</f>
        <v/>
      </c>
      <c r="Q45">
        <f>IF(A45="","",COUNTIF($A$2:A45,A45))</f>
        <v/>
      </c>
      <c r="R45">
        <f>IF(A45="","",MAX($R$1:R44)+1)</f>
        <v/>
      </c>
    </row>
    <row r="46">
      <c r="A46" s="2" t="n"/>
      <c r="H46" s="3" t="n"/>
      <c r="I46" s="3" t="n"/>
      <c r="J46" s="4">
        <f>IF(AND(H46&lt;&gt;"",I46&lt;&gt;""),(I46-H46)*24,"")</f>
        <v/>
      </c>
      <c r="M46">
        <f>IF(C46&lt;&gt;"",C46,M45)</f>
        <v/>
      </c>
      <c r="N46">
        <f>IF(D46&lt;&gt;"",D46,N45)</f>
        <v/>
      </c>
      <c r="O46">
        <f>M46&amp;": "&amp;N46</f>
        <v/>
      </c>
      <c r="P46">
        <f>IF(O46="","",IF(COUNTIF($O$1:O45,O46)=0,MAX($P$1:P45)+1,""))</f>
        <v/>
      </c>
      <c r="Q46">
        <f>IF(A46="","",COUNTIF($A$2:A46,A46))</f>
        <v/>
      </c>
      <c r="R46">
        <f>IF(A46="","",MAX($R$1:R45)+1)</f>
        <v/>
      </c>
    </row>
    <row r="47">
      <c r="A47" s="2" t="n"/>
      <c r="H47" s="3" t="n"/>
      <c r="I47" s="3" t="n"/>
      <c r="J47" s="4">
        <f>IF(AND(H47&lt;&gt;"",I47&lt;&gt;""),(I47-H47)*24,"")</f>
        <v/>
      </c>
      <c r="M47">
        <f>IF(C47&lt;&gt;"",C47,M46)</f>
        <v/>
      </c>
      <c r="N47">
        <f>IF(D47&lt;&gt;"",D47,N46)</f>
        <v/>
      </c>
      <c r="O47">
        <f>M47&amp;": "&amp;N47</f>
        <v/>
      </c>
      <c r="P47">
        <f>IF(O47="","",IF(COUNTIF($O$1:O46,O47)=0,MAX($P$1:P46)+1,""))</f>
        <v/>
      </c>
      <c r="Q47">
        <f>IF(A47="","",COUNTIF($A$2:A47,A47))</f>
        <v/>
      </c>
      <c r="R47">
        <f>IF(A47="","",MAX($R$1:R46)+1)</f>
        <v/>
      </c>
    </row>
    <row r="48">
      <c r="A48" s="2" t="n"/>
      <c r="H48" s="3" t="n"/>
      <c r="I48" s="3" t="n"/>
      <c r="J48" s="4">
        <f>IF(AND(H48&lt;&gt;"",I48&lt;&gt;""),(I48-H48)*24,"")</f>
        <v/>
      </c>
      <c r="M48">
        <f>IF(C48&lt;&gt;"",C48,M47)</f>
        <v/>
      </c>
      <c r="N48">
        <f>IF(D48&lt;&gt;"",D48,N47)</f>
        <v/>
      </c>
      <c r="O48">
        <f>M48&amp;": "&amp;N48</f>
        <v/>
      </c>
      <c r="P48">
        <f>IF(O48="","",IF(COUNTIF($O$1:O47,O48)=0,MAX($P$1:P47)+1,""))</f>
        <v/>
      </c>
      <c r="Q48">
        <f>IF(A48="","",COUNTIF($A$2:A48,A48))</f>
        <v/>
      </c>
      <c r="R48">
        <f>IF(A48="","",MAX($R$1:R47)+1)</f>
        <v/>
      </c>
    </row>
    <row r="49">
      <c r="A49" s="2" t="n"/>
      <c r="H49" s="3" t="n"/>
      <c r="I49" s="3" t="n"/>
      <c r="J49" s="4">
        <f>IF(AND(H49&lt;&gt;"",I49&lt;&gt;""),(I49-H49)*24,"")</f>
        <v/>
      </c>
      <c r="M49">
        <f>IF(C49&lt;&gt;"",C49,M48)</f>
        <v/>
      </c>
      <c r="N49">
        <f>IF(D49&lt;&gt;"",D49,N48)</f>
        <v/>
      </c>
      <c r="O49">
        <f>M49&amp;": "&amp;N49</f>
        <v/>
      </c>
      <c r="P49">
        <f>IF(O49="","",IF(COUNTIF($O$1:O48,O49)=0,MAX($P$1:P48)+1,""))</f>
        <v/>
      </c>
      <c r="Q49">
        <f>IF(A49="","",COUNTIF($A$2:A49,A49))</f>
        <v/>
      </c>
      <c r="R49">
        <f>IF(A49="","",MAX($R$1:R48)+1)</f>
        <v/>
      </c>
    </row>
    <row r="50">
      <c r="A50" s="2" t="n"/>
      <c r="H50" s="3" t="n"/>
      <c r="I50" s="3" t="n"/>
      <c r="J50" s="4">
        <f>IF(AND(H50&lt;&gt;"",I50&lt;&gt;""),(I50-H50)*24,"")</f>
        <v/>
      </c>
      <c r="M50">
        <f>IF(C50&lt;&gt;"",C50,M49)</f>
        <v/>
      </c>
      <c r="N50">
        <f>IF(D50&lt;&gt;"",D50,N49)</f>
        <v/>
      </c>
      <c r="O50">
        <f>M50&amp;": "&amp;N50</f>
        <v/>
      </c>
      <c r="P50">
        <f>IF(O50="","",IF(COUNTIF($O$1:O49,O50)=0,MAX($P$1:P49)+1,""))</f>
        <v/>
      </c>
      <c r="Q50">
        <f>IF(A50="","",COUNTIF($A$2:A50,A50))</f>
        <v/>
      </c>
      <c r="R50">
        <f>IF(A50="","",MAX($R$1:R49)+1)</f>
        <v/>
      </c>
    </row>
    <row r="51">
      <c r="A51" s="2" t="n"/>
      <c r="H51" s="3" t="n"/>
      <c r="I51" s="3" t="n"/>
      <c r="J51" s="4">
        <f>IF(AND(H51&lt;&gt;"",I51&lt;&gt;""),(I51-H51)*24,"")</f>
        <v/>
      </c>
      <c r="M51">
        <f>IF(C51&lt;&gt;"",C51,M50)</f>
        <v/>
      </c>
      <c r="N51">
        <f>IF(D51&lt;&gt;"",D51,N50)</f>
        <v/>
      </c>
      <c r="O51">
        <f>M51&amp;": "&amp;N51</f>
        <v/>
      </c>
      <c r="P51">
        <f>IF(O51="","",IF(COUNTIF($O$1:O50,O51)=0,MAX($P$1:P50)+1,""))</f>
        <v/>
      </c>
      <c r="Q51">
        <f>IF(A51="","",COUNTIF($A$2:A51,A51))</f>
        <v/>
      </c>
      <c r="R51">
        <f>IF(A51="","",MAX($R$1:R50)+1)</f>
        <v/>
      </c>
    </row>
    <row r="52">
      <c r="A52" s="2" t="n"/>
      <c r="H52" s="3" t="n"/>
      <c r="I52" s="3" t="n"/>
      <c r="J52" s="4">
        <f>IF(AND(H52&lt;&gt;"",I52&lt;&gt;""),(I52-H52)*24,"")</f>
        <v/>
      </c>
      <c r="M52">
        <f>IF(C52&lt;&gt;"",C52,M51)</f>
        <v/>
      </c>
      <c r="N52">
        <f>IF(D52&lt;&gt;"",D52,N51)</f>
        <v/>
      </c>
      <c r="O52">
        <f>M52&amp;": "&amp;N52</f>
        <v/>
      </c>
      <c r="P52">
        <f>IF(O52="","",IF(COUNTIF($O$1:O51,O52)=0,MAX($P$1:P51)+1,""))</f>
        <v/>
      </c>
      <c r="Q52">
        <f>IF(A52="","",COUNTIF($A$2:A52,A52))</f>
        <v/>
      </c>
      <c r="R52">
        <f>IF(A52="","",MAX($R$1:R51)+1)</f>
        <v/>
      </c>
    </row>
    <row r="53">
      <c r="A53" s="2" t="n"/>
      <c r="H53" s="3" t="n"/>
      <c r="I53" s="3" t="n"/>
      <c r="J53" s="4">
        <f>IF(AND(H53&lt;&gt;"",I53&lt;&gt;""),(I53-H53)*24,"")</f>
        <v/>
      </c>
      <c r="M53">
        <f>IF(C53&lt;&gt;"",C53,M52)</f>
        <v/>
      </c>
      <c r="N53">
        <f>IF(D53&lt;&gt;"",D53,N52)</f>
        <v/>
      </c>
      <c r="O53">
        <f>M53&amp;": "&amp;N53</f>
        <v/>
      </c>
      <c r="P53">
        <f>IF(O53="","",IF(COUNTIF($O$1:O52,O53)=0,MAX($P$1:P52)+1,""))</f>
        <v/>
      </c>
      <c r="Q53">
        <f>IF(A53="","",COUNTIF($A$2:A53,A53))</f>
        <v/>
      </c>
      <c r="R53">
        <f>IF(A53="","",MAX($R$1:R52)+1)</f>
        <v/>
      </c>
    </row>
    <row r="54">
      <c r="A54" s="2" t="n"/>
      <c r="H54" s="3" t="n"/>
      <c r="I54" s="3" t="n"/>
      <c r="J54" s="4">
        <f>IF(AND(H54&lt;&gt;"",I54&lt;&gt;""),(I54-H54)*24,"")</f>
        <v/>
      </c>
      <c r="M54">
        <f>IF(C54&lt;&gt;"",C54,M53)</f>
        <v/>
      </c>
      <c r="N54">
        <f>IF(D54&lt;&gt;"",D54,N53)</f>
        <v/>
      </c>
      <c r="O54">
        <f>M54&amp;": "&amp;N54</f>
        <v/>
      </c>
      <c r="P54">
        <f>IF(O54="","",IF(COUNTIF($O$1:O53,O54)=0,MAX($P$1:P53)+1,""))</f>
        <v/>
      </c>
      <c r="Q54">
        <f>IF(A54="","",COUNTIF($A$2:A54,A54))</f>
        <v/>
      </c>
      <c r="R54">
        <f>IF(A54="","",MAX($R$1:R53)+1)</f>
        <v/>
      </c>
    </row>
    <row r="55">
      <c r="A55" s="2" t="n"/>
      <c r="H55" s="3" t="n"/>
      <c r="I55" s="3" t="n"/>
      <c r="J55" s="4">
        <f>IF(AND(H55&lt;&gt;"",I55&lt;&gt;""),(I55-H55)*24,"")</f>
        <v/>
      </c>
      <c r="M55">
        <f>IF(C55&lt;&gt;"",C55,M54)</f>
        <v/>
      </c>
      <c r="N55">
        <f>IF(D55&lt;&gt;"",D55,N54)</f>
        <v/>
      </c>
      <c r="O55">
        <f>M55&amp;": "&amp;N55</f>
        <v/>
      </c>
      <c r="P55">
        <f>IF(O55="","",IF(COUNTIF($O$1:O54,O55)=0,MAX($P$1:P54)+1,""))</f>
        <v/>
      </c>
      <c r="Q55">
        <f>IF(A55="","",COUNTIF($A$2:A55,A55))</f>
        <v/>
      </c>
      <c r="R55">
        <f>IF(A55="","",MAX($R$1:R54)+1)</f>
        <v/>
      </c>
    </row>
    <row r="56">
      <c r="A56" s="2" t="n"/>
      <c r="H56" s="3" t="n"/>
      <c r="I56" s="3" t="n"/>
      <c r="J56" s="4">
        <f>IF(AND(H56&lt;&gt;"",I56&lt;&gt;""),(I56-H56)*24,"")</f>
        <v/>
      </c>
      <c r="M56">
        <f>IF(C56&lt;&gt;"",C56,M55)</f>
        <v/>
      </c>
      <c r="N56">
        <f>IF(D56&lt;&gt;"",D56,N55)</f>
        <v/>
      </c>
      <c r="O56">
        <f>M56&amp;": "&amp;N56</f>
        <v/>
      </c>
      <c r="P56">
        <f>IF(O56="","",IF(COUNTIF($O$1:O55,O56)=0,MAX($P$1:P55)+1,""))</f>
        <v/>
      </c>
      <c r="Q56">
        <f>IF(A56="","",COUNTIF($A$2:A56,A56))</f>
        <v/>
      </c>
      <c r="R56">
        <f>IF(A56="","",MAX($R$1:R55)+1)</f>
        <v/>
      </c>
    </row>
    <row r="57">
      <c r="A57" s="2" t="n"/>
      <c r="H57" s="3" t="n"/>
      <c r="I57" s="3" t="n"/>
      <c r="J57" s="4">
        <f>IF(AND(H57&lt;&gt;"",I57&lt;&gt;""),(I57-H57)*24,"")</f>
        <v/>
      </c>
      <c r="M57">
        <f>IF(C57&lt;&gt;"",C57,M56)</f>
        <v/>
      </c>
      <c r="N57">
        <f>IF(D57&lt;&gt;"",D57,N56)</f>
        <v/>
      </c>
      <c r="O57">
        <f>M57&amp;": "&amp;N57</f>
        <v/>
      </c>
      <c r="P57">
        <f>IF(O57="","",IF(COUNTIF($O$1:O56,O57)=0,MAX($P$1:P56)+1,""))</f>
        <v/>
      </c>
      <c r="Q57">
        <f>IF(A57="","",COUNTIF($A$2:A57,A57))</f>
        <v/>
      </c>
      <c r="R57">
        <f>IF(A57="","",MAX($R$1:R56)+1)</f>
        <v/>
      </c>
    </row>
    <row r="58">
      <c r="A58" s="2" t="n"/>
      <c r="H58" s="3" t="n"/>
      <c r="I58" s="3" t="n"/>
      <c r="J58" s="4">
        <f>IF(AND(H58&lt;&gt;"",I58&lt;&gt;""),(I58-H58)*24,"")</f>
        <v/>
      </c>
      <c r="M58">
        <f>IF(C58&lt;&gt;"",C58,M57)</f>
        <v/>
      </c>
      <c r="N58">
        <f>IF(D58&lt;&gt;"",D58,N57)</f>
        <v/>
      </c>
      <c r="O58">
        <f>M58&amp;": "&amp;N58</f>
        <v/>
      </c>
      <c r="P58">
        <f>IF(O58="","",IF(COUNTIF($O$1:O57,O58)=0,MAX($P$1:P57)+1,""))</f>
        <v/>
      </c>
      <c r="Q58">
        <f>IF(A58="","",COUNTIF($A$2:A58,A58))</f>
        <v/>
      </c>
      <c r="R58">
        <f>IF(A58="","",MAX($R$1:R57)+1)</f>
        <v/>
      </c>
    </row>
    <row r="59">
      <c r="A59" s="2" t="n"/>
      <c r="H59" s="3" t="n"/>
      <c r="I59" s="3" t="n"/>
      <c r="J59" s="4">
        <f>IF(AND(H59&lt;&gt;"",I59&lt;&gt;""),(I59-H59)*24,"")</f>
        <v/>
      </c>
      <c r="M59">
        <f>IF(C59&lt;&gt;"",C59,M58)</f>
        <v/>
      </c>
      <c r="N59">
        <f>IF(D59&lt;&gt;"",D59,N58)</f>
        <v/>
      </c>
      <c r="O59">
        <f>M59&amp;": "&amp;N59</f>
        <v/>
      </c>
      <c r="P59">
        <f>IF(O59="","",IF(COUNTIF($O$1:O58,O59)=0,MAX($P$1:P58)+1,""))</f>
        <v/>
      </c>
      <c r="Q59">
        <f>IF(A59="","",COUNTIF($A$2:A59,A59))</f>
        <v/>
      </c>
      <c r="R59">
        <f>IF(A59="","",MAX($R$1:R58)+1)</f>
        <v/>
      </c>
    </row>
    <row r="60">
      <c r="A60" s="2" t="n"/>
      <c r="H60" s="3" t="n"/>
      <c r="I60" s="3" t="n"/>
      <c r="J60" s="4">
        <f>IF(AND(H60&lt;&gt;"",I60&lt;&gt;""),(I60-H60)*24,"")</f>
        <v/>
      </c>
      <c r="M60">
        <f>IF(C60&lt;&gt;"",C60,M59)</f>
        <v/>
      </c>
      <c r="N60">
        <f>IF(D60&lt;&gt;"",D60,N59)</f>
        <v/>
      </c>
      <c r="O60">
        <f>M60&amp;": "&amp;N60</f>
        <v/>
      </c>
      <c r="P60">
        <f>IF(O60="","",IF(COUNTIF($O$1:O59,O60)=0,MAX($P$1:P59)+1,""))</f>
        <v/>
      </c>
      <c r="Q60">
        <f>IF(A60="","",COUNTIF($A$2:A60,A60))</f>
        <v/>
      </c>
      <c r="R60">
        <f>IF(A60="","",MAX($R$1:R59)+1)</f>
        <v/>
      </c>
    </row>
    <row r="61">
      <c r="A61" s="2" t="n"/>
      <c r="H61" s="3" t="n"/>
      <c r="I61" s="3" t="n"/>
      <c r="J61" s="4">
        <f>IF(AND(H61&lt;&gt;"",I61&lt;&gt;""),(I61-H61)*24,"")</f>
        <v/>
      </c>
      <c r="M61">
        <f>IF(C61&lt;&gt;"",C61,M60)</f>
        <v/>
      </c>
      <c r="N61">
        <f>IF(D61&lt;&gt;"",D61,N60)</f>
        <v/>
      </c>
      <c r="O61">
        <f>M61&amp;": "&amp;N61</f>
        <v/>
      </c>
      <c r="P61">
        <f>IF(O61="","",IF(COUNTIF($O$1:O60,O61)=0,MAX($P$1:P60)+1,""))</f>
        <v/>
      </c>
      <c r="Q61">
        <f>IF(A61="","",COUNTIF($A$2:A61,A61))</f>
        <v/>
      </c>
      <c r="R61">
        <f>IF(A61="","",MAX($R$1:R60)+1)</f>
        <v/>
      </c>
    </row>
    <row r="62">
      <c r="A62" s="2" t="n"/>
      <c r="H62" s="3" t="n"/>
      <c r="I62" s="3" t="n"/>
      <c r="J62" s="4">
        <f>IF(AND(H62&lt;&gt;"",I62&lt;&gt;""),(I62-H62)*24,"")</f>
        <v/>
      </c>
      <c r="M62">
        <f>IF(C62&lt;&gt;"",C62,M61)</f>
        <v/>
      </c>
      <c r="N62">
        <f>IF(D62&lt;&gt;"",D62,N61)</f>
        <v/>
      </c>
      <c r="O62">
        <f>M62&amp;": "&amp;N62</f>
        <v/>
      </c>
      <c r="P62">
        <f>IF(O62="","",IF(COUNTIF($O$1:O61,O62)=0,MAX($P$1:P61)+1,""))</f>
        <v/>
      </c>
      <c r="Q62">
        <f>IF(A62="","",COUNTIF($A$2:A62,A62))</f>
        <v/>
      </c>
      <c r="R62">
        <f>IF(A62="","",MAX($R$1:R61)+1)</f>
        <v/>
      </c>
    </row>
    <row r="63">
      <c r="A63" s="2" t="n"/>
      <c r="H63" s="3" t="n"/>
      <c r="I63" s="3" t="n"/>
      <c r="J63" s="4">
        <f>IF(AND(H63&lt;&gt;"",I63&lt;&gt;""),(I63-H63)*24,"")</f>
        <v/>
      </c>
      <c r="M63">
        <f>IF(C63&lt;&gt;"",C63,M62)</f>
        <v/>
      </c>
      <c r="N63">
        <f>IF(D63&lt;&gt;"",D63,N62)</f>
        <v/>
      </c>
      <c r="O63">
        <f>M63&amp;": "&amp;N63</f>
        <v/>
      </c>
      <c r="P63">
        <f>IF(O63="","",IF(COUNTIF($O$1:O62,O63)=0,MAX($P$1:P62)+1,""))</f>
        <v/>
      </c>
      <c r="Q63">
        <f>IF(A63="","",COUNTIF($A$2:A63,A63))</f>
        <v/>
      </c>
      <c r="R63">
        <f>IF(A63="","",MAX($R$1:R62)+1)</f>
        <v/>
      </c>
    </row>
    <row r="64">
      <c r="A64" s="2" t="n"/>
      <c r="H64" s="3" t="n"/>
      <c r="I64" s="3" t="n"/>
      <c r="J64" s="4">
        <f>IF(AND(H64&lt;&gt;"",I64&lt;&gt;""),(I64-H64)*24,"")</f>
        <v/>
      </c>
      <c r="M64">
        <f>IF(C64&lt;&gt;"",C64,M63)</f>
        <v/>
      </c>
      <c r="N64">
        <f>IF(D64&lt;&gt;"",D64,N63)</f>
        <v/>
      </c>
      <c r="O64">
        <f>M64&amp;": "&amp;N64</f>
        <v/>
      </c>
      <c r="P64">
        <f>IF(O64="","",IF(COUNTIF($O$1:O63,O64)=0,MAX($P$1:P63)+1,""))</f>
        <v/>
      </c>
      <c r="Q64">
        <f>IF(A64="","",COUNTIF($A$2:A64,A64))</f>
        <v/>
      </c>
      <c r="R64">
        <f>IF(A64="","",MAX($R$1:R63)+1)</f>
        <v/>
      </c>
    </row>
    <row r="65">
      <c r="A65" s="2" t="n"/>
      <c r="H65" s="3" t="n"/>
      <c r="I65" s="3" t="n"/>
      <c r="J65" s="4">
        <f>IF(AND(H65&lt;&gt;"",I65&lt;&gt;""),(I65-H65)*24,"")</f>
        <v/>
      </c>
      <c r="M65">
        <f>IF(C65&lt;&gt;"",C65,M64)</f>
        <v/>
      </c>
      <c r="N65">
        <f>IF(D65&lt;&gt;"",D65,N64)</f>
        <v/>
      </c>
      <c r="O65">
        <f>M65&amp;": "&amp;N65</f>
        <v/>
      </c>
      <c r="P65">
        <f>IF(O65="","",IF(COUNTIF($O$1:O64,O65)=0,MAX($P$1:P64)+1,""))</f>
        <v/>
      </c>
      <c r="Q65">
        <f>IF(A65="","",COUNTIF($A$2:A65,A65))</f>
        <v/>
      </c>
      <c r="R65">
        <f>IF(A65="","",MAX($R$1:R64)+1)</f>
        <v/>
      </c>
    </row>
    <row r="66">
      <c r="A66" s="2" t="n"/>
      <c r="H66" s="3" t="n"/>
      <c r="I66" s="3" t="n"/>
      <c r="J66" s="4">
        <f>IF(AND(H66&lt;&gt;"",I66&lt;&gt;""),(I66-H66)*24,"")</f>
        <v/>
      </c>
      <c r="M66">
        <f>IF(C66&lt;&gt;"",C66,M65)</f>
        <v/>
      </c>
      <c r="N66">
        <f>IF(D66&lt;&gt;"",D66,N65)</f>
        <v/>
      </c>
      <c r="O66">
        <f>M66&amp;": "&amp;N66</f>
        <v/>
      </c>
      <c r="P66">
        <f>IF(O66="","",IF(COUNTIF($O$1:O65,O66)=0,MAX($P$1:P65)+1,""))</f>
        <v/>
      </c>
      <c r="Q66">
        <f>IF(A66="","",COUNTIF($A$2:A66,A66))</f>
        <v/>
      </c>
      <c r="R66">
        <f>IF(A66="","",MAX($R$1:R65)+1)</f>
        <v/>
      </c>
    </row>
    <row r="67">
      <c r="A67" s="2" t="n"/>
      <c r="H67" s="3" t="n"/>
      <c r="I67" s="3" t="n"/>
      <c r="J67" s="4">
        <f>IF(AND(H67&lt;&gt;"",I67&lt;&gt;""),(I67-H67)*24,"")</f>
        <v/>
      </c>
      <c r="M67">
        <f>IF(C67&lt;&gt;"",C67,M66)</f>
        <v/>
      </c>
      <c r="N67">
        <f>IF(D67&lt;&gt;"",D67,N66)</f>
        <v/>
      </c>
      <c r="O67">
        <f>M67&amp;": "&amp;N67</f>
        <v/>
      </c>
      <c r="P67">
        <f>IF(O67="","",IF(COUNTIF($O$1:O66,O67)=0,MAX($P$1:P66)+1,""))</f>
        <v/>
      </c>
      <c r="Q67">
        <f>IF(A67="","",COUNTIF($A$2:A67,A67))</f>
        <v/>
      </c>
      <c r="R67">
        <f>IF(A67="","",MAX($R$1:R66)+1)</f>
        <v/>
      </c>
    </row>
    <row r="68">
      <c r="A68" s="2" t="n"/>
      <c r="H68" s="3" t="n"/>
      <c r="I68" s="3" t="n"/>
      <c r="J68" s="4">
        <f>IF(AND(H68&lt;&gt;"",I68&lt;&gt;""),(I68-H68)*24,"")</f>
        <v/>
      </c>
      <c r="M68">
        <f>IF(C68&lt;&gt;"",C68,M67)</f>
        <v/>
      </c>
      <c r="N68">
        <f>IF(D68&lt;&gt;"",D68,N67)</f>
        <v/>
      </c>
      <c r="O68">
        <f>M68&amp;": "&amp;N68</f>
        <v/>
      </c>
      <c r="P68">
        <f>IF(O68="","",IF(COUNTIF($O$1:O67,O68)=0,MAX($P$1:P67)+1,""))</f>
        <v/>
      </c>
      <c r="Q68">
        <f>IF(A68="","",COUNTIF($A$2:A68,A68))</f>
        <v/>
      </c>
      <c r="R68">
        <f>IF(A68="","",MAX($R$1:R67)+1)</f>
        <v/>
      </c>
    </row>
    <row r="69">
      <c r="A69" s="2" t="n"/>
      <c r="H69" s="3" t="n"/>
      <c r="I69" s="3" t="n"/>
      <c r="J69" s="4">
        <f>IF(AND(H69&lt;&gt;"",I69&lt;&gt;""),(I69-H69)*24,"")</f>
        <v/>
      </c>
      <c r="M69">
        <f>IF(C69&lt;&gt;"",C69,M68)</f>
        <v/>
      </c>
      <c r="N69">
        <f>IF(D69&lt;&gt;"",D69,N68)</f>
        <v/>
      </c>
      <c r="O69">
        <f>M69&amp;": "&amp;N69</f>
        <v/>
      </c>
      <c r="P69">
        <f>IF(O69="","",IF(COUNTIF($O$1:O68,O69)=0,MAX($P$1:P68)+1,""))</f>
        <v/>
      </c>
      <c r="Q69">
        <f>IF(A69="","",COUNTIF($A$2:A69,A69))</f>
        <v/>
      </c>
      <c r="R69">
        <f>IF(A69="","",MAX($R$1:R68)+1)</f>
        <v/>
      </c>
    </row>
    <row r="70">
      <c r="A70" s="2" t="n"/>
      <c r="H70" s="3" t="n"/>
      <c r="I70" s="3" t="n"/>
      <c r="J70" s="4">
        <f>IF(AND(H70&lt;&gt;"",I70&lt;&gt;""),(I70-H70)*24,"")</f>
        <v/>
      </c>
      <c r="M70">
        <f>IF(C70&lt;&gt;"",C70,M69)</f>
        <v/>
      </c>
      <c r="N70">
        <f>IF(D70&lt;&gt;"",D70,N69)</f>
        <v/>
      </c>
      <c r="O70">
        <f>M70&amp;": "&amp;N70</f>
        <v/>
      </c>
      <c r="P70">
        <f>IF(O70="","",IF(COUNTIF($O$1:O69,O70)=0,MAX($P$1:P69)+1,""))</f>
        <v/>
      </c>
      <c r="Q70">
        <f>IF(A70="","",COUNTIF($A$2:A70,A70))</f>
        <v/>
      </c>
      <c r="R70">
        <f>IF(A70="","",MAX($R$1:R69)+1)</f>
        <v/>
      </c>
    </row>
    <row r="71">
      <c r="A71" s="2" t="n"/>
      <c r="H71" s="3" t="n"/>
      <c r="I71" s="3" t="n"/>
      <c r="J71" s="4">
        <f>IF(AND(H71&lt;&gt;"",I71&lt;&gt;""),(I71-H71)*24,"")</f>
        <v/>
      </c>
      <c r="M71">
        <f>IF(C71&lt;&gt;"",C71,M70)</f>
        <v/>
      </c>
      <c r="N71">
        <f>IF(D71&lt;&gt;"",D71,N70)</f>
        <v/>
      </c>
      <c r="O71">
        <f>M71&amp;": "&amp;N71</f>
        <v/>
      </c>
      <c r="P71">
        <f>IF(O71="","",IF(COUNTIF($O$1:O70,O71)=0,MAX($P$1:P70)+1,""))</f>
        <v/>
      </c>
      <c r="Q71">
        <f>IF(A71="","",COUNTIF($A$2:A71,A71))</f>
        <v/>
      </c>
      <c r="R71">
        <f>IF(A71="","",MAX($R$1:R70)+1)</f>
        <v/>
      </c>
    </row>
    <row r="72">
      <c r="A72" s="2" t="n"/>
      <c r="H72" s="3" t="n"/>
      <c r="I72" s="3" t="n"/>
      <c r="J72" s="4">
        <f>IF(AND(H72&lt;&gt;"",I72&lt;&gt;""),(I72-H72)*24,"")</f>
        <v/>
      </c>
      <c r="M72">
        <f>IF(C72&lt;&gt;"",C72,M71)</f>
        <v/>
      </c>
      <c r="N72">
        <f>IF(D72&lt;&gt;"",D72,N71)</f>
        <v/>
      </c>
      <c r="O72">
        <f>M72&amp;": "&amp;N72</f>
        <v/>
      </c>
      <c r="P72">
        <f>IF(O72="","",IF(COUNTIF($O$1:O71,O72)=0,MAX($P$1:P71)+1,""))</f>
        <v/>
      </c>
      <c r="Q72">
        <f>IF(A72="","",COUNTIF($A$2:A72,A72))</f>
        <v/>
      </c>
      <c r="R72">
        <f>IF(A72="","",MAX($R$1:R71)+1)</f>
        <v/>
      </c>
    </row>
    <row r="73">
      <c r="A73" s="2" t="n"/>
      <c r="H73" s="3" t="n"/>
      <c r="I73" s="3" t="n"/>
      <c r="J73" s="4">
        <f>IF(AND(H73&lt;&gt;"",I73&lt;&gt;""),(I73-H73)*24,"")</f>
        <v/>
      </c>
      <c r="M73">
        <f>IF(C73&lt;&gt;"",C73,M72)</f>
        <v/>
      </c>
      <c r="N73">
        <f>IF(D73&lt;&gt;"",D73,N72)</f>
        <v/>
      </c>
      <c r="O73">
        <f>M73&amp;": "&amp;N73</f>
        <v/>
      </c>
      <c r="P73">
        <f>IF(O73="","",IF(COUNTIF($O$1:O72,O73)=0,MAX($P$1:P72)+1,""))</f>
        <v/>
      </c>
      <c r="Q73">
        <f>IF(A73="","",COUNTIF($A$2:A73,A73))</f>
        <v/>
      </c>
      <c r="R73">
        <f>IF(A73="","",MAX($R$1:R72)+1)</f>
        <v/>
      </c>
    </row>
    <row r="74">
      <c r="A74" s="2" t="n"/>
      <c r="H74" s="3" t="n"/>
      <c r="I74" s="3" t="n"/>
      <c r="J74" s="4">
        <f>IF(AND(H74&lt;&gt;"",I74&lt;&gt;""),(I74-H74)*24,"")</f>
        <v/>
      </c>
      <c r="M74">
        <f>IF(C74&lt;&gt;"",C74,M73)</f>
        <v/>
      </c>
      <c r="N74">
        <f>IF(D74&lt;&gt;"",D74,N73)</f>
        <v/>
      </c>
      <c r="O74">
        <f>M74&amp;": "&amp;N74</f>
        <v/>
      </c>
      <c r="P74">
        <f>IF(O74="","",IF(COUNTIF($O$1:O73,O74)=0,MAX($P$1:P73)+1,""))</f>
        <v/>
      </c>
      <c r="Q74">
        <f>IF(A74="","",COUNTIF($A$2:A74,A74))</f>
        <v/>
      </c>
      <c r="R74">
        <f>IF(A74="","",MAX($R$1:R73)+1)</f>
        <v/>
      </c>
    </row>
    <row r="75">
      <c r="A75" s="2" t="n"/>
      <c r="H75" s="3" t="n"/>
      <c r="I75" s="3" t="n"/>
      <c r="J75" s="4">
        <f>IF(AND(H75&lt;&gt;"",I75&lt;&gt;""),(I75-H75)*24,"")</f>
        <v/>
      </c>
      <c r="M75">
        <f>IF(C75&lt;&gt;"",C75,M74)</f>
        <v/>
      </c>
      <c r="N75">
        <f>IF(D75&lt;&gt;"",D75,N74)</f>
        <v/>
      </c>
      <c r="O75">
        <f>M75&amp;": "&amp;N75</f>
        <v/>
      </c>
      <c r="P75">
        <f>IF(O75="","",IF(COUNTIF($O$1:O74,O75)=0,MAX($P$1:P74)+1,""))</f>
        <v/>
      </c>
      <c r="Q75">
        <f>IF(A75="","",COUNTIF($A$2:A75,A75))</f>
        <v/>
      </c>
      <c r="R75">
        <f>IF(A75="","",MAX($R$1:R74)+1)</f>
        <v/>
      </c>
    </row>
    <row r="76">
      <c r="A76" s="2" t="n"/>
      <c r="H76" s="3" t="n"/>
      <c r="I76" s="3" t="n"/>
      <c r="J76" s="4">
        <f>IF(AND(H76&lt;&gt;"",I76&lt;&gt;""),(I76-H76)*24,"")</f>
        <v/>
      </c>
      <c r="M76">
        <f>IF(C76&lt;&gt;"",C76,M75)</f>
        <v/>
      </c>
      <c r="N76">
        <f>IF(D76&lt;&gt;"",D76,N75)</f>
        <v/>
      </c>
      <c r="O76">
        <f>M76&amp;": "&amp;N76</f>
        <v/>
      </c>
      <c r="P76">
        <f>IF(O76="","",IF(COUNTIF($O$1:O75,O76)=0,MAX($P$1:P75)+1,""))</f>
        <v/>
      </c>
      <c r="Q76">
        <f>IF(A76="","",COUNTIF($A$2:A76,A76))</f>
        <v/>
      </c>
      <c r="R76">
        <f>IF(A76="","",MAX($R$1:R75)+1)</f>
        <v/>
      </c>
    </row>
    <row r="77">
      <c r="A77" s="2" t="n"/>
      <c r="H77" s="3" t="n"/>
      <c r="I77" s="3" t="n"/>
      <c r="J77" s="4">
        <f>IF(AND(H77&lt;&gt;"",I77&lt;&gt;""),(I77-H77)*24,"")</f>
        <v/>
      </c>
      <c r="M77">
        <f>IF(C77&lt;&gt;"",C77,M76)</f>
        <v/>
      </c>
      <c r="N77">
        <f>IF(D77&lt;&gt;"",D77,N76)</f>
        <v/>
      </c>
      <c r="O77">
        <f>M77&amp;": "&amp;N77</f>
        <v/>
      </c>
      <c r="P77">
        <f>IF(O77="","",IF(COUNTIF($O$1:O76,O77)=0,MAX($P$1:P76)+1,""))</f>
        <v/>
      </c>
      <c r="Q77">
        <f>IF(A77="","",COUNTIF($A$2:A77,A77))</f>
        <v/>
      </c>
      <c r="R77">
        <f>IF(A77="","",MAX($R$1:R76)+1)</f>
        <v/>
      </c>
    </row>
    <row r="78">
      <c r="A78" s="2" t="n"/>
      <c r="H78" s="3" t="n"/>
      <c r="I78" s="3" t="n"/>
      <c r="J78" s="4">
        <f>IF(AND(H78&lt;&gt;"",I78&lt;&gt;""),(I78-H78)*24,"")</f>
        <v/>
      </c>
      <c r="M78">
        <f>IF(C78&lt;&gt;"",C78,M77)</f>
        <v/>
      </c>
      <c r="N78">
        <f>IF(D78&lt;&gt;"",D78,N77)</f>
        <v/>
      </c>
      <c r="O78">
        <f>M78&amp;": "&amp;N78</f>
        <v/>
      </c>
      <c r="P78">
        <f>IF(O78="","",IF(COUNTIF($O$1:O77,O78)=0,MAX($P$1:P77)+1,""))</f>
        <v/>
      </c>
      <c r="Q78">
        <f>IF(A78="","",COUNTIF($A$2:A78,A78))</f>
        <v/>
      </c>
      <c r="R78">
        <f>IF(A78="","",MAX($R$1:R77)+1)</f>
        <v/>
      </c>
    </row>
    <row r="79">
      <c r="A79" s="2" t="n"/>
      <c r="H79" s="3" t="n"/>
      <c r="I79" s="3" t="n"/>
      <c r="J79" s="4">
        <f>IF(AND(H79&lt;&gt;"",I79&lt;&gt;""),(I79-H79)*24,"")</f>
        <v/>
      </c>
      <c r="M79">
        <f>IF(C79&lt;&gt;"",C79,M78)</f>
        <v/>
      </c>
      <c r="N79">
        <f>IF(D79&lt;&gt;"",D79,N78)</f>
        <v/>
      </c>
      <c r="O79">
        <f>M79&amp;": "&amp;N79</f>
        <v/>
      </c>
      <c r="P79">
        <f>IF(O79="","",IF(COUNTIF($O$1:O78,O79)=0,MAX($P$1:P78)+1,""))</f>
        <v/>
      </c>
      <c r="Q79">
        <f>IF(A79="","",COUNTIF($A$2:A79,A79))</f>
        <v/>
      </c>
      <c r="R79">
        <f>IF(A79="","",MAX($R$1:R78)+1)</f>
        <v/>
      </c>
    </row>
    <row r="80">
      <c r="A80" s="2" t="n"/>
      <c r="H80" s="3" t="n"/>
      <c r="I80" s="3" t="n"/>
      <c r="J80" s="4">
        <f>IF(AND(H80&lt;&gt;"",I80&lt;&gt;""),(I80-H80)*24,"")</f>
        <v/>
      </c>
      <c r="M80">
        <f>IF(C80&lt;&gt;"",C80,M79)</f>
        <v/>
      </c>
      <c r="N80">
        <f>IF(D80&lt;&gt;"",D80,N79)</f>
        <v/>
      </c>
      <c r="O80">
        <f>M80&amp;": "&amp;N80</f>
        <v/>
      </c>
      <c r="P80">
        <f>IF(O80="","",IF(COUNTIF($O$1:O79,O80)=0,MAX($P$1:P79)+1,""))</f>
        <v/>
      </c>
      <c r="Q80">
        <f>IF(A80="","",COUNTIF($A$2:A80,A80))</f>
        <v/>
      </c>
      <c r="R80">
        <f>IF(A80="","",MAX($R$1:R79)+1)</f>
        <v/>
      </c>
    </row>
    <row r="81">
      <c r="A81" s="2" t="n"/>
      <c r="H81" s="3" t="n"/>
      <c r="I81" s="3" t="n"/>
      <c r="J81" s="4">
        <f>IF(AND(H81&lt;&gt;"",I81&lt;&gt;""),(I81-H81)*24,"")</f>
        <v/>
      </c>
      <c r="M81">
        <f>IF(C81&lt;&gt;"",C81,M80)</f>
        <v/>
      </c>
      <c r="N81">
        <f>IF(D81&lt;&gt;"",D81,N80)</f>
        <v/>
      </c>
      <c r="O81">
        <f>M81&amp;": "&amp;N81</f>
        <v/>
      </c>
      <c r="P81">
        <f>IF(O81="","",IF(COUNTIF($O$1:O80,O81)=0,MAX($P$1:P80)+1,""))</f>
        <v/>
      </c>
      <c r="Q81">
        <f>IF(A81="","",COUNTIF($A$2:A81,A81))</f>
        <v/>
      </c>
      <c r="R81">
        <f>IF(A81="","",MAX($R$1:R80)+1)</f>
        <v/>
      </c>
    </row>
    <row r="82">
      <c r="A82" s="2" t="n"/>
      <c r="H82" s="3" t="n"/>
      <c r="I82" s="3" t="n"/>
      <c r="J82" s="4">
        <f>IF(AND(H82&lt;&gt;"",I82&lt;&gt;""),(I82-H82)*24,"")</f>
        <v/>
      </c>
      <c r="M82">
        <f>IF(C82&lt;&gt;"",C82,M81)</f>
        <v/>
      </c>
      <c r="N82">
        <f>IF(D82&lt;&gt;"",D82,N81)</f>
        <v/>
      </c>
      <c r="O82">
        <f>M82&amp;": "&amp;N82</f>
        <v/>
      </c>
      <c r="P82">
        <f>IF(O82="","",IF(COUNTIF($O$1:O81,O82)=0,MAX($P$1:P81)+1,""))</f>
        <v/>
      </c>
      <c r="Q82">
        <f>IF(A82="","",COUNTIF($A$2:A82,A82))</f>
        <v/>
      </c>
      <c r="R82">
        <f>IF(A82="","",MAX($R$1:R81)+1)</f>
        <v/>
      </c>
    </row>
    <row r="83">
      <c r="A83" s="2" t="n"/>
      <c r="H83" s="3" t="n"/>
      <c r="I83" s="3" t="n"/>
      <c r="J83" s="4">
        <f>IF(AND(H83&lt;&gt;"",I83&lt;&gt;""),(I83-H83)*24,"")</f>
        <v/>
      </c>
      <c r="M83">
        <f>IF(C83&lt;&gt;"",C83,M82)</f>
        <v/>
      </c>
      <c r="N83">
        <f>IF(D83&lt;&gt;"",D83,N82)</f>
        <v/>
      </c>
      <c r="O83">
        <f>M83&amp;": "&amp;N83</f>
        <v/>
      </c>
      <c r="P83">
        <f>IF(O83="","",IF(COUNTIF($O$1:O82,O83)=0,MAX($P$1:P82)+1,""))</f>
        <v/>
      </c>
      <c r="Q83">
        <f>IF(A83="","",COUNTIF($A$2:A83,A83))</f>
        <v/>
      </c>
      <c r="R83">
        <f>IF(A83="","",MAX($R$1:R82)+1)</f>
        <v/>
      </c>
    </row>
    <row r="84">
      <c r="A84" s="2" t="n"/>
      <c r="H84" s="3" t="n"/>
      <c r="I84" s="3" t="n"/>
      <c r="J84" s="4">
        <f>IF(AND(H84&lt;&gt;"",I84&lt;&gt;""),(I84-H84)*24,"")</f>
        <v/>
      </c>
      <c r="M84">
        <f>IF(C84&lt;&gt;"",C84,M83)</f>
        <v/>
      </c>
      <c r="N84">
        <f>IF(D84&lt;&gt;"",D84,N83)</f>
        <v/>
      </c>
      <c r="O84">
        <f>M84&amp;": "&amp;N84</f>
        <v/>
      </c>
      <c r="P84">
        <f>IF(O84="","",IF(COUNTIF($O$1:O83,O84)=0,MAX($P$1:P83)+1,""))</f>
        <v/>
      </c>
      <c r="Q84">
        <f>IF(A84="","",COUNTIF($A$2:A84,A84))</f>
        <v/>
      </c>
      <c r="R84">
        <f>IF(A84="","",MAX($R$1:R83)+1)</f>
        <v/>
      </c>
    </row>
    <row r="85">
      <c r="A85" s="2" t="n"/>
      <c r="H85" s="3" t="n"/>
      <c r="I85" s="3" t="n"/>
      <c r="J85" s="4">
        <f>IF(AND(H85&lt;&gt;"",I85&lt;&gt;""),(I85-H85)*24,"")</f>
        <v/>
      </c>
      <c r="M85">
        <f>IF(C85&lt;&gt;"",C85,M84)</f>
        <v/>
      </c>
      <c r="N85">
        <f>IF(D85&lt;&gt;"",D85,N84)</f>
        <v/>
      </c>
      <c r="O85">
        <f>M85&amp;": "&amp;N85</f>
        <v/>
      </c>
      <c r="P85">
        <f>IF(O85="","",IF(COUNTIF($O$1:O84,O85)=0,MAX($P$1:P84)+1,""))</f>
        <v/>
      </c>
      <c r="Q85">
        <f>IF(A85="","",COUNTIF($A$2:A85,A85))</f>
        <v/>
      </c>
      <c r="R85">
        <f>IF(A85="","",MAX($R$1:R84)+1)</f>
        <v/>
      </c>
    </row>
    <row r="86">
      <c r="A86" s="2" t="n"/>
      <c r="H86" s="3" t="n"/>
      <c r="I86" s="3" t="n"/>
      <c r="J86" s="4">
        <f>IF(AND(H86&lt;&gt;"",I86&lt;&gt;""),(I86-H86)*24,"")</f>
        <v/>
      </c>
      <c r="M86">
        <f>IF(C86&lt;&gt;"",C86,M85)</f>
        <v/>
      </c>
      <c r="N86">
        <f>IF(D86&lt;&gt;"",D86,N85)</f>
        <v/>
      </c>
      <c r="O86">
        <f>M86&amp;": "&amp;N86</f>
        <v/>
      </c>
      <c r="P86">
        <f>IF(O86="","",IF(COUNTIF($O$1:O85,O86)=0,MAX($P$1:P85)+1,""))</f>
        <v/>
      </c>
      <c r="Q86">
        <f>IF(A86="","",COUNTIF($A$2:A86,A86))</f>
        <v/>
      </c>
      <c r="R86">
        <f>IF(A86="","",MAX($R$1:R85)+1)</f>
        <v/>
      </c>
    </row>
    <row r="87">
      <c r="A87" s="2" t="n"/>
      <c r="H87" s="3" t="n"/>
      <c r="I87" s="3" t="n"/>
      <c r="J87" s="4">
        <f>IF(AND(H87&lt;&gt;"",I87&lt;&gt;""),(I87-H87)*24,"")</f>
        <v/>
      </c>
      <c r="M87">
        <f>IF(C87&lt;&gt;"",C87,M86)</f>
        <v/>
      </c>
      <c r="N87">
        <f>IF(D87&lt;&gt;"",D87,N86)</f>
        <v/>
      </c>
      <c r="O87">
        <f>M87&amp;": "&amp;N87</f>
        <v/>
      </c>
      <c r="P87">
        <f>IF(O87="","",IF(COUNTIF($O$1:O86,O87)=0,MAX($P$1:P86)+1,""))</f>
        <v/>
      </c>
      <c r="Q87">
        <f>IF(A87="","",COUNTIF($A$2:A87,A87))</f>
        <v/>
      </c>
      <c r="R87">
        <f>IF(A87="","",MAX($R$1:R86)+1)</f>
        <v/>
      </c>
    </row>
    <row r="88">
      <c r="A88" s="2" t="n"/>
      <c r="H88" s="3" t="n"/>
      <c r="I88" s="3" t="n"/>
      <c r="J88" s="4">
        <f>IF(AND(H88&lt;&gt;"",I88&lt;&gt;""),(I88-H88)*24,"")</f>
        <v/>
      </c>
      <c r="M88">
        <f>IF(C88&lt;&gt;"",C88,M87)</f>
        <v/>
      </c>
      <c r="N88">
        <f>IF(D88&lt;&gt;"",D88,N87)</f>
        <v/>
      </c>
      <c r="O88">
        <f>M88&amp;": "&amp;N88</f>
        <v/>
      </c>
      <c r="P88">
        <f>IF(O88="","",IF(COUNTIF($O$1:O87,O88)=0,MAX($P$1:P87)+1,""))</f>
        <v/>
      </c>
      <c r="Q88">
        <f>IF(A88="","",COUNTIF($A$2:A88,A88))</f>
        <v/>
      </c>
      <c r="R88">
        <f>IF(A88="","",MAX($R$1:R87)+1)</f>
        <v/>
      </c>
    </row>
    <row r="89">
      <c r="A89" s="2" t="n"/>
      <c r="H89" s="3" t="n"/>
      <c r="I89" s="3" t="n"/>
      <c r="J89" s="4">
        <f>IF(AND(H89&lt;&gt;"",I89&lt;&gt;""),(I89-H89)*24,"")</f>
        <v/>
      </c>
      <c r="M89">
        <f>IF(C89&lt;&gt;"",C89,M88)</f>
        <v/>
      </c>
      <c r="N89">
        <f>IF(D89&lt;&gt;"",D89,N88)</f>
        <v/>
      </c>
      <c r="O89">
        <f>M89&amp;": "&amp;N89</f>
        <v/>
      </c>
      <c r="P89">
        <f>IF(O89="","",IF(COUNTIF($O$1:O88,O89)=0,MAX($P$1:P88)+1,""))</f>
        <v/>
      </c>
      <c r="Q89">
        <f>IF(A89="","",COUNTIF($A$2:A89,A89))</f>
        <v/>
      </c>
      <c r="R89">
        <f>IF(A89="","",MAX($R$1:R88)+1)</f>
        <v/>
      </c>
    </row>
    <row r="90">
      <c r="A90" s="2" t="n"/>
      <c r="H90" s="3" t="n"/>
      <c r="I90" s="3" t="n"/>
      <c r="J90" s="4">
        <f>IF(AND(H90&lt;&gt;"",I90&lt;&gt;""),(I90-H90)*24,"")</f>
        <v/>
      </c>
      <c r="M90">
        <f>IF(C90&lt;&gt;"",C90,M89)</f>
        <v/>
      </c>
      <c r="N90">
        <f>IF(D90&lt;&gt;"",D90,N89)</f>
        <v/>
      </c>
      <c r="O90">
        <f>M90&amp;": "&amp;N90</f>
        <v/>
      </c>
      <c r="P90">
        <f>IF(O90="","",IF(COUNTIF($O$1:O89,O90)=0,MAX($P$1:P89)+1,""))</f>
        <v/>
      </c>
      <c r="Q90">
        <f>IF(A90="","",COUNTIF($A$2:A90,A90))</f>
        <v/>
      </c>
      <c r="R90">
        <f>IF(A90="","",MAX($R$1:R89)+1)</f>
        <v/>
      </c>
    </row>
    <row r="91">
      <c r="A91" s="2" t="n"/>
      <c r="H91" s="3" t="n"/>
      <c r="I91" s="3" t="n"/>
      <c r="J91" s="4">
        <f>IF(AND(H91&lt;&gt;"",I91&lt;&gt;""),(I91-H91)*24,"")</f>
        <v/>
      </c>
      <c r="M91">
        <f>IF(C91&lt;&gt;"",C91,M90)</f>
        <v/>
      </c>
      <c r="N91">
        <f>IF(D91&lt;&gt;"",D91,N90)</f>
        <v/>
      </c>
      <c r="O91">
        <f>M91&amp;": "&amp;N91</f>
        <v/>
      </c>
      <c r="P91">
        <f>IF(O91="","",IF(COUNTIF($O$1:O90,O91)=0,MAX($P$1:P90)+1,""))</f>
        <v/>
      </c>
      <c r="Q91">
        <f>IF(A91="","",COUNTIF($A$2:A91,A91))</f>
        <v/>
      </c>
      <c r="R91">
        <f>IF(A91="","",MAX($R$1:R90)+1)</f>
        <v/>
      </c>
    </row>
    <row r="92">
      <c r="A92" s="2" t="n"/>
      <c r="H92" s="3" t="n"/>
      <c r="I92" s="3" t="n"/>
      <c r="J92" s="4">
        <f>IF(AND(H92&lt;&gt;"",I92&lt;&gt;""),(I92-H92)*24,"")</f>
        <v/>
      </c>
      <c r="M92">
        <f>IF(C92&lt;&gt;"",C92,M91)</f>
        <v/>
      </c>
      <c r="N92">
        <f>IF(D92&lt;&gt;"",D92,N91)</f>
        <v/>
      </c>
      <c r="O92">
        <f>M92&amp;": "&amp;N92</f>
        <v/>
      </c>
      <c r="P92">
        <f>IF(O92="","",IF(COUNTIF($O$1:O91,O92)=0,MAX($P$1:P91)+1,""))</f>
        <v/>
      </c>
      <c r="Q92">
        <f>IF(A92="","",COUNTIF($A$2:A92,A92))</f>
        <v/>
      </c>
      <c r="R92">
        <f>IF(A92="","",MAX($R$1:R91)+1)</f>
        <v/>
      </c>
    </row>
    <row r="93">
      <c r="A93" s="2" t="n"/>
      <c r="H93" s="3" t="n"/>
      <c r="I93" s="3" t="n"/>
      <c r="J93" s="4">
        <f>IF(AND(H93&lt;&gt;"",I93&lt;&gt;""),(I93-H93)*24,"")</f>
        <v/>
      </c>
      <c r="M93">
        <f>IF(C93&lt;&gt;"",C93,M92)</f>
        <v/>
      </c>
      <c r="N93">
        <f>IF(D93&lt;&gt;"",D93,N92)</f>
        <v/>
      </c>
      <c r="O93">
        <f>M93&amp;": "&amp;N93</f>
        <v/>
      </c>
      <c r="P93">
        <f>IF(O93="","",IF(COUNTIF($O$1:O92,O93)=0,MAX($P$1:P92)+1,""))</f>
        <v/>
      </c>
      <c r="Q93">
        <f>IF(A93="","",COUNTIF($A$2:A93,A93))</f>
        <v/>
      </c>
      <c r="R93">
        <f>IF(A93="","",MAX($R$1:R92)+1)</f>
        <v/>
      </c>
    </row>
    <row r="94">
      <c r="A94" s="2" t="n"/>
      <c r="H94" s="3" t="n"/>
      <c r="I94" s="3" t="n"/>
      <c r="J94" s="4">
        <f>IF(AND(H94&lt;&gt;"",I94&lt;&gt;""),(I94-H94)*24,"")</f>
        <v/>
      </c>
      <c r="M94">
        <f>IF(C94&lt;&gt;"",C94,M93)</f>
        <v/>
      </c>
      <c r="N94">
        <f>IF(D94&lt;&gt;"",D94,N93)</f>
        <v/>
      </c>
      <c r="O94">
        <f>M94&amp;": "&amp;N94</f>
        <v/>
      </c>
      <c r="P94">
        <f>IF(O94="","",IF(COUNTIF($O$1:O93,O94)=0,MAX($P$1:P93)+1,""))</f>
        <v/>
      </c>
      <c r="Q94">
        <f>IF(A94="","",COUNTIF($A$2:A94,A94))</f>
        <v/>
      </c>
      <c r="R94">
        <f>IF(A94="","",MAX($R$1:R93)+1)</f>
        <v/>
      </c>
    </row>
    <row r="95">
      <c r="A95" s="2" t="n"/>
      <c r="H95" s="3" t="n"/>
      <c r="I95" s="3" t="n"/>
      <c r="J95" s="4">
        <f>IF(AND(H95&lt;&gt;"",I95&lt;&gt;""),(I95-H95)*24,"")</f>
        <v/>
      </c>
      <c r="M95">
        <f>IF(C95&lt;&gt;"",C95,M94)</f>
        <v/>
      </c>
      <c r="N95">
        <f>IF(D95&lt;&gt;"",D95,N94)</f>
        <v/>
      </c>
      <c r="O95">
        <f>M95&amp;": "&amp;N95</f>
        <v/>
      </c>
      <c r="P95">
        <f>IF(O95="","",IF(COUNTIF($O$1:O94,O95)=0,MAX($P$1:P94)+1,""))</f>
        <v/>
      </c>
      <c r="Q95">
        <f>IF(A95="","",COUNTIF($A$2:A95,A95))</f>
        <v/>
      </c>
      <c r="R95">
        <f>IF(A95="","",MAX($R$1:R94)+1)</f>
        <v/>
      </c>
    </row>
    <row r="96">
      <c r="A96" s="2" t="n"/>
      <c r="H96" s="3" t="n"/>
      <c r="I96" s="3" t="n"/>
      <c r="J96" s="4">
        <f>IF(AND(H96&lt;&gt;"",I96&lt;&gt;""),(I96-H96)*24,"")</f>
        <v/>
      </c>
      <c r="M96">
        <f>IF(C96&lt;&gt;"",C96,M95)</f>
        <v/>
      </c>
      <c r="N96">
        <f>IF(D96&lt;&gt;"",D96,N95)</f>
        <v/>
      </c>
      <c r="O96">
        <f>M96&amp;": "&amp;N96</f>
        <v/>
      </c>
      <c r="P96">
        <f>IF(O96="","",IF(COUNTIF($O$1:O95,O96)=0,MAX($P$1:P95)+1,""))</f>
        <v/>
      </c>
      <c r="Q96">
        <f>IF(A96="","",COUNTIF($A$2:A96,A96))</f>
        <v/>
      </c>
      <c r="R96">
        <f>IF(A96="","",MAX($R$1:R95)+1)</f>
        <v/>
      </c>
    </row>
    <row r="97">
      <c r="A97" s="2" t="n"/>
      <c r="H97" s="3" t="n"/>
      <c r="I97" s="3" t="n"/>
      <c r="J97" s="4">
        <f>IF(AND(H97&lt;&gt;"",I97&lt;&gt;""),(I97-H97)*24,"")</f>
        <v/>
      </c>
      <c r="M97">
        <f>IF(C97&lt;&gt;"",C97,M96)</f>
        <v/>
      </c>
      <c r="N97">
        <f>IF(D97&lt;&gt;"",D97,N96)</f>
        <v/>
      </c>
      <c r="O97">
        <f>M97&amp;": "&amp;N97</f>
        <v/>
      </c>
      <c r="P97">
        <f>IF(O97="","",IF(COUNTIF($O$1:O96,O97)=0,MAX($P$1:P96)+1,""))</f>
        <v/>
      </c>
      <c r="Q97">
        <f>IF(A97="","",COUNTIF($A$2:A97,A97))</f>
        <v/>
      </c>
      <c r="R97">
        <f>IF(A97="","",MAX($R$1:R96)+1)</f>
        <v/>
      </c>
    </row>
    <row r="98">
      <c r="A98" s="2" t="n"/>
      <c r="H98" s="3" t="n"/>
      <c r="I98" s="3" t="n"/>
      <c r="J98" s="4">
        <f>IF(AND(H98&lt;&gt;"",I98&lt;&gt;""),(I98-H98)*24,"")</f>
        <v/>
      </c>
      <c r="M98">
        <f>IF(C98&lt;&gt;"",C98,M97)</f>
        <v/>
      </c>
      <c r="N98">
        <f>IF(D98&lt;&gt;"",D98,N97)</f>
        <v/>
      </c>
      <c r="O98">
        <f>M98&amp;": "&amp;N98</f>
        <v/>
      </c>
      <c r="P98">
        <f>IF(O98="","",IF(COUNTIF($O$1:O97,O98)=0,MAX($P$1:P97)+1,""))</f>
        <v/>
      </c>
      <c r="Q98">
        <f>IF(A98="","",COUNTIF($A$2:A98,A98))</f>
        <v/>
      </c>
      <c r="R98">
        <f>IF(A98="","",MAX($R$1:R97)+1)</f>
        <v/>
      </c>
    </row>
    <row r="99">
      <c r="A99" s="2" t="n"/>
      <c r="H99" s="3" t="n"/>
      <c r="I99" s="3" t="n"/>
      <c r="J99" s="4">
        <f>IF(AND(H99&lt;&gt;"",I99&lt;&gt;""),(I99-H99)*24,"")</f>
        <v/>
      </c>
      <c r="M99">
        <f>IF(C99&lt;&gt;"",C99,M98)</f>
        <v/>
      </c>
      <c r="N99">
        <f>IF(D99&lt;&gt;"",D99,N98)</f>
        <v/>
      </c>
      <c r="O99">
        <f>M99&amp;": "&amp;N99</f>
        <v/>
      </c>
      <c r="P99">
        <f>IF(O99="","",IF(COUNTIF($O$1:O98,O99)=0,MAX($P$1:P98)+1,""))</f>
        <v/>
      </c>
      <c r="Q99">
        <f>IF(A99="","",COUNTIF($A$2:A99,A99))</f>
        <v/>
      </c>
      <c r="R99">
        <f>IF(A99="","",MAX($R$1:R98)+1)</f>
        <v/>
      </c>
    </row>
    <row r="100">
      <c r="A100" s="2" t="n"/>
      <c r="H100" s="3" t="n"/>
      <c r="I100" s="3" t="n"/>
      <c r="J100" s="4">
        <f>IF(AND(H100&lt;&gt;"",I100&lt;&gt;""),(I100-H100)*24,"")</f>
        <v/>
      </c>
      <c r="M100">
        <f>IF(C100&lt;&gt;"",C100,M99)</f>
        <v/>
      </c>
      <c r="N100">
        <f>IF(D100&lt;&gt;"",D100,N99)</f>
        <v/>
      </c>
      <c r="O100">
        <f>M100&amp;": "&amp;N100</f>
        <v/>
      </c>
      <c r="P100">
        <f>IF(O100="","",IF(COUNTIF($O$1:O99,O100)=0,MAX($P$1:P99)+1,""))</f>
        <v/>
      </c>
      <c r="Q100">
        <f>IF(A100="","",COUNTIF($A$2:A100,A100))</f>
        <v/>
      </c>
      <c r="R100">
        <f>IF(A100="","",MAX($R$1:R99)+1)</f>
        <v/>
      </c>
    </row>
    <row r="101">
      <c r="A101" s="2" t="n"/>
      <c r="H101" s="3" t="n"/>
      <c r="I101" s="3" t="n"/>
      <c r="J101" s="4">
        <f>IF(AND(H101&lt;&gt;"",I101&lt;&gt;""),(I101-H101)*24,"")</f>
        <v/>
      </c>
      <c r="M101">
        <f>IF(C101&lt;&gt;"",C101,M100)</f>
        <v/>
      </c>
      <c r="N101">
        <f>IF(D101&lt;&gt;"",D101,N100)</f>
        <v/>
      </c>
      <c r="O101">
        <f>M101&amp;": "&amp;N101</f>
        <v/>
      </c>
      <c r="P101">
        <f>IF(O101="","",IF(COUNTIF($O$1:O100,O101)=0,MAX($P$1:P100)+1,""))</f>
        <v/>
      </c>
      <c r="Q101">
        <f>IF(A101="","",COUNTIF($A$2:A101,A101))</f>
        <v/>
      </c>
      <c r="R101">
        <f>IF(A101="","",MAX($R$1:R100)+1)</f>
        <v/>
      </c>
    </row>
    <row r="102">
      <c r="A102" s="2" t="n"/>
      <c r="H102" s="3" t="n"/>
      <c r="I102" s="3" t="n"/>
      <c r="J102" s="4">
        <f>IF(AND(H102&lt;&gt;"",I102&lt;&gt;""),(I102-H102)*24,"")</f>
        <v/>
      </c>
      <c r="M102">
        <f>IF(C102&lt;&gt;"",C102,M101)</f>
        <v/>
      </c>
      <c r="N102">
        <f>IF(D102&lt;&gt;"",D102,N101)</f>
        <v/>
      </c>
      <c r="O102">
        <f>M102&amp;": "&amp;N102</f>
        <v/>
      </c>
      <c r="P102">
        <f>IF(O102="","",IF(COUNTIF($O$1:O101,O102)=0,MAX($P$1:P101)+1,""))</f>
        <v/>
      </c>
      <c r="Q102">
        <f>IF(A102="","",COUNTIF($A$2:A102,A102))</f>
        <v/>
      </c>
      <c r="R102">
        <f>IF(A102="","",MAX($R$1:R101)+1)</f>
        <v/>
      </c>
    </row>
    <row r="103">
      <c r="A103" s="2" t="n"/>
      <c r="H103" s="3" t="n"/>
      <c r="I103" s="3" t="n"/>
      <c r="J103" s="4">
        <f>IF(AND(H103&lt;&gt;"",I103&lt;&gt;""),(I103-H103)*24,"")</f>
        <v/>
      </c>
      <c r="M103">
        <f>IF(C103&lt;&gt;"",C103,M102)</f>
        <v/>
      </c>
      <c r="N103">
        <f>IF(D103&lt;&gt;"",D103,N102)</f>
        <v/>
      </c>
      <c r="O103">
        <f>M103&amp;": "&amp;N103</f>
        <v/>
      </c>
      <c r="P103">
        <f>IF(O103="","",IF(COUNTIF($O$1:O102,O103)=0,MAX($P$1:P102)+1,""))</f>
        <v/>
      </c>
      <c r="Q103">
        <f>IF(A103="","",COUNTIF($A$2:A103,A103))</f>
        <v/>
      </c>
      <c r="R103">
        <f>IF(A103="","",MAX($R$1:R102)+1)</f>
        <v/>
      </c>
    </row>
    <row r="104">
      <c r="A104" s="2" t="n"/>
      <c r="H104" s="3" t="n"/>
      <c r="I104" s="3" t="n"/>
      <c r="J104" s="4">
        <f>IF(AND(H104&lt;&gt;"",I104&lt;&gt;""),(I104-H104)*24,"")</f>
        <v/>
      </c>
      <c r="M104">
        <f>IF(C104&lt;&gt;"",C104,M103)</f>
        <v/>
      </c>
      <c r="N104">
        <f>IF(D104&lt;&gt;"",D104,N103)</f>
        <v/>
      </c>
      <c r="O104">
        <f>M104&amp;": "&amp;N104</f>
        <v/>
      </c>
      <c r="P104">
        <f>IF(O104="","",IF(COUNTIF($O$1:O103,O104)=0,MAX($P$1:P103)+1,""))</f>
        <v/>
      </c>
      <c r="Q104">
        <f>IF(A104="","",COUNTIF($A$2:A104,A104))</f>
        <v/>
      </c>
      <c r="R104">
        <f>IF(A104="","",MAX($R$1:R103)+1)</f>
        <v/>
      </c>
    </row>
    <row r="105">
      <c r="A105" s="2" t="n"/>
      <c r="H105" s="3" t="n"/>
      <c r="I105" s="3" t="n"/>
      <c r="J105" s="4">
        <f>IF(AND(H105&lt;&gt;"",I105&lt;&gt;""),(I105-H105)*24,"")</f>
        <v/>
      </c>
      <c r="M105">
        <f>IF(C105&lt;&gt;"",C105,M104)</f>
        <v/>
      </c>
      <c r="N105">
        <f>IF(D105&lt;&gt;"",D105,N104)</f>
        <v/>
      </c>
      <c r="O105">
        <f>M105&amp;": "&amp;N105</f>
        <v/>
      </c>
      <c r="P105">
        <f>IF(O105="","",IF(COUNTIF($O$1:O104,O105)=0,MAX($P$1:P104)+1,""))</f>
        <v/>
      </c>
      <c r="Q105">
        <f>IF(A105="","",COUNTIF($A$2:A105,A105))</f>
        <v/>
      </c>
      <c r="R105">
        <f>IF(A105="","",MAX($R$1:R104)+1)</f>
        <v/>
      </c>
    </row>
    <row r="106">
      <c r="A106" s="2" t="n"/>
      <c r="H106" s="3" t="n"/>
      <c r="I106" s="3" t="n"/>
      <c r="J106" s="4">
        <f>IF(AND(H106&lt;&gt;"",I106&lt;&gt;""),(I106-H106)*24,"")</f>
        <v/>
      </c>
      <c r="M106">
        <f>IF(C106&lt;&gt;"",C106,M105)</f>
        <v/>
      </c>
      <c r="N106">
        <f>IF(D106&lt;&gt;"",D106,N105)</f>
        <v/>
      </c>
      <c r="O106">
        <f>M106&amp;": "&amp;N106</f>
        <v/>
      </c>
      <c r="P106">
        <f>IF(O106="","",IF(COUNTIF($O$1:O105,O106)=0,MAX($P$1:P105)+1,""))</f>
        <v/>
      </c>
      <c r="Q106">
        <f>IF(A106="","",COUNTIF($A$2:A106,A106))</f>
        <v/>
      </c>
      <c r="R106">
        <f>IF(A106="","",MAX($R$1:R105)+1)</f>
        <v/>
      </c>
    </row>
    <row r="107">
      <c r="A107" s="2" t="n"/>
      <c r="H107" s="3" t="n"/>
      <c r="I107" s="3" t="n"/>
      <c r="J107" s="4">
        <f>IF(AND(H107&lt;&gt;"",I107&lt;&gt;""),(I107-H107)*24,"")</f>
        <v/>
      </c>
      <c r="M107">
        <f>IF(C107&lt;&gt;"",C107,M106)</f>
        <v/>
      </c>
      <c r="N107">
        <f>IF(D107&lt;&gt;"",D107,N106)</f>
        <v/>
      </c>
      <c r="O107">
        <f>M107&amp;": "&amp;N107</f>
        <v/>
      </c>
      <c r="P107">
        <f>IF(O107="","",IF(COUNTIF($O$1:O106,O107)=0,MAX($P$1:P106)+1,""))</f>
        <v/>
      </c>
      <c r="Q107">
        <f>IF(A107="","",COUNTIF($A$2:A107,A107))</f>
        <v/>
      </c>
      <c r="R107">
        <f>IF(A107="","",MAX($R$1:R106)+1)</f>
        <v/>
      </c>
    </row>
    <row r="108">
      <c r="A108" s="2" t="n"/>
      <c r="H108" s="3" t="n"/>
      <c r="I108" s="3" t="n"/>
      <c r="J108" s="4">
        <f>IF(AND(H108&lt;&gt;"",I108&lt;&gt;""),(I108-H108)*24,"")</f>
        <v/>
      </c>
      <c r="M108">
        <f>IF(C108&lt;&gt;"",C108,M107)</f>
        <v/>
      </c>
      <c r="N108">
        <f>IF(D108&lt;&gt;"",D108,N107)</f>
        <v/>
      </c>
      <c r="O108">
        <f>M108&amp;": "&amp;N108</f>
        <v/>
      </c>
      <c r="P108">
        <f>IF(O108="","",IF(COUNTIF($O$1:O107,O108)=0,MAX($P$1:P107)+1,""))</f>
        <v/>
      </c>
      <c r="Q108">
        <f>IF(A108="","",COUNTIF($A$2:A108,A108))</f>
        <v/>
      </c>
      <c r="R108">
        <f>IF(A108="","",MAX($R$1:R107)+1)</f>
        <v/>
      </c>
    </row>
    <row r="109">
      <c r="A109" s="2" t="n"/>
      <c r="H109" s="3" t="n"/>
      <c r="I109" s="3" t="n"/>
      <c r="J109" s="4">
        <f>IF(AND(H109&lt;&gt;"",I109&lt;&gt;""),(I109-H109)*24,"")</f>
        <v/>
      </c>
      <c r="M109">
        <f>IF(C109&lt;&gt;"",C109,M108)</f>
        <v/>
      </c>
      <c r="N109">
        <f>IF(D109&lt;&gt;"",D109,N108)</f>
        <v/>
      </c>
      <c r="O109">
        <f>M109&amp;": "&amp;N109</f>
        <v/>
      </c>
      <c r="P109">
        <f>IF(O109="","",IF(COUNTIF($O$1:O108,O109)=0,MAX($P$1:P108)+1,""))</f>
        <v/>
      </c>
      <c r="Q109">
        <f>IF(A109="","",COUNTIF($A$2:A109,A109))</f>
        <v/>
      </c>
      <c r="R109">
        <f>IF(A109="","",MAX($R$1:R108)+1)</f>
        <v/>
      </c>
    </row>
    <row r="110">
      <c r="A110" s="2" t="n"/>
      <c r="H110" s="3" t="n"/>
      <c r="I110" s="3" t="n"/>
      <c r="J110" s="4">
        <f>IF(AND(H110&lt;&gt;"",I110&lt;&gt;""),(I110-H110)*24,"")</f>
        <v/>
      </c>
      <c r="M110">
        <f>IF(C110&lt;&gt;"",C110,M109)</f>
        <v/>
      </c>
      <c r="N110">
        <f>IF(D110&lt;&gt;"",D110,N109)</f>
        <v/>
      </c>
      <c r="O110">
        <f>M110&amp;": "&amp;N110</f>
        <v/>
      </c>
      <c r="P110">
        <f>IF(O110="","",IF(COUNTIF($O$1:O109,O110)=0,MAX($P$1:P109)+1,""))</f>
        <v/>
      </c>
      <c r="Q110">
        <f>IF(A110="","",COUNTIF($A$2:A110,A110))</f>
        <v/>
      </c>
      <c r="R110">
        <f>IF(A110="","",MAX($R$1:R109)+1)</f>
        <v/>
      </c>
    </row>
    <row r="111">
      <c r="A111" s="2" t="n"/>
      <c r="H111" s="3" t="n"/>
      <c r="I111" s="3" t="n"/>
      <c r="J111" s="4">
        <f>IF(AND(H111&lt;&gt;"",I111&lt;&gt;""),(I111-H111)*24,"")</f>
        <v/>
      </c>
      <c r="M111">
        <f>IF(C111&lt;&gt;"",C111,M110)</f>
        <v/>
      </c>
      <c r="N111">
        <f>IF(D111&lt;&gt;"",D111,N110)</f>
        <v/>
      </c>
      <c r="O111">
        <f>M111&amp;": "&amp;N111</f>
        <v/>
      </c>
      <c r="P111">
        <f>IF(O111="","",IF(COUNTIF($O$1:O110,O111)=0,MAX($P$1:P110)+1,""))</f>
        <v/>
      </c>
      <c r="Q111">
        <f>IF(A111="","",COUNTIF($A$2:A111,A111))</f>
        <v/>
      </c>
      <c r="R111">
        <f>IF(A111="","",MAX($R$1:R110)+1)</f>
        <v/>
      </c>
    </row>
    <row r="112">
      <c r="A112" s="2" t="n"/>
      <c r="H112" s="3" t="n"/>
      <c r="I112" s="3" t="n"/>
      <c r="J112" s="4">
        <f>IF(AND(H112&lt;&gt;"",I112&lt;&gt;""),(I112-H112)*24,"")</f>
        <v/>
      </c>
      <c r="M112">
        <f>IF(C112&lt;&gt;"",C112,M111)</f>
        <v/>
      </c>
      <c r="N112">
        <f>IF(D112&lt;&gt;"",D112,N111)</f>
        <v/>
      </c>
      <c r="O112">
        <f>M112&amp;": "&amp;N112</f>
        <v/>
      </c>
      <c r="P112">
        <f>IF(O112="","",IF(COUNTIF($O$1:O111,O112)=0,MAX($P$1:P111)+1,""))</f>
        <v/>
      </c>
      <c r="Q112">
        <f>IF(A112="","",COUNTIF($A$2:A112,A112))</f>
        <v/>
      </c>
      <c r="R112">
        <f>IF(A112="","",MAX($R$1:R111)+1)</f>
        <v/>
      </c>
    </row>
    <row r="113">
      <c r="A113" s="2" t="n"/>
      <c r="H113" s="3" t="n"/>
      <c r="I113" s="3" t="n"/>
      <c r="J113" s="4">
        <f>IF(AND(H113&lt;&gt;"",I113&lt;&gt;""),(I113-H113)*24,"")</f>
        <v/>
      </c>
      <c r="M113">
        <f>IF(C113&lt;&gt;"",C113,M112)</f>
        <v/>
      </c>
      <c r="N113">
        <f>IF(D113&lt;&gt;"",D113,N112)</f>
        <v/>
      </c>
      <c r="O113">
        <f>M113&amp;": "&amp;N113</f>
        <v/>
      </c>
      <c r="P113">
        <f>IF(O113="","",IF(COUNTIF($O$1:O112,O113)=0,MAX($P$1:P112)+1,""))</f>
        <v/>
      </c>
      <c r="Q113">
        <f>IF(A113="","",COUNTIF($A$2:A113,A113))</f>
        <v/>
      </c>
      <c r="R113">
        <f>IF(A113="","",MAX($R$1:R112)+1)</f>
        <v/>
      </c>
    </row>
    <row r="114">
      <c r="A114" s="2" t="n"/>
      <c r="H114" s="3" t="n"/>
      <c r="I114" s="3" t="n"/>
      <c r="J114" s="4">
        <f>IF(AND(H114&lt;&gt;"",I114&lt;&gt;""),(I114-H114)*24,"")</f>
        <v/>
      </c>
      <c r="M114">
        <f>IF(C114&lt;&gt;"",C114,M113)</f>
        <v/>
      </c>
      <c r="N114">
        <f>IF(D114&lt;&gt;"",D114,N113)</f>
        <v/>
      </c>
      <c r="O114">
        <f>M114&amp;": "&amp;N114</f>
        <v/>
      </c>
      <c r="P114">
        <f>IF(O114="","",IF(COUNTIF($O$1:O113,O114)=0,MAX($P$1:P113)+1,""))</f>
        <v/>
      </c>
      <c r="Q114">
        <f>IF(A114="","",COUNTIF($A$2:A114,A114))</f>
        <v/>
      </c>
      <c r="R114">
        <f>IF(A114="","",MAX($R$1:R113)+1)</f>
        <v/>
      </c>
    </row>
    <row r="115">
      <c r="A115" s="2" t="n"/>
      <c r="H115" s="3" t="n"/>
      <c r="I115" s="3" t="n"/>
      <c r="J115" s="4">
        <f>IF(AND(H115&lt;&gt;"",I115&lt;&gt;""),(I115-H115)*24,"")</f>
        <v/>
      </c>
      <c r="M115">
        <f>IF(C115&lt;&gt;"",C115,M114)</f>
        <v/>
      </c>
      <c r="N115">
        <f>IF(D115&lt;&gt;"",D115,N114)</f>
        <v/>
      </c>
      <c r="O115">
        <f>M115&amp;": "&amp;N115</f>
        <v/>
      </c>
      <c r="P115">
        <f>IF(O115="","",IF(COUNTIF($O$1:O114,O115)=0,MAX($P$1:P114)+1,""))</f>
        <v/>
      </c>
      <c r="Q115">
        <f>IF(A115="","",COUNTIF($A$2:A115,A115))</f>
        <v/>
      </c>
      <c r="R115">
        <f>IF(A115="","",MAX($R$1:R114)+1)</f>
        <v/>
      </c>
    </row>
    <row r="116">
      <c r="A116" s="2" t="n"/>
      <c r="H116" s="3" t="n"/>
      <c r="I116" s="3" t="n"/>
      <c r="J116" s="4">
        <f>IF(AND(H116&lt;&gt;"",I116&lt;&gt;""),(I116-H116)*24,"")</f>
        <v/>
      </c>
      <c r="M116">
        <f>IF(C116&lt;&gt;"",C116,M115)</f>
        <v/>
      </c>
      <c r="N116">
        <f>IF(D116&lt;&gt;"",D116,N115)</f>
        <v/>
      </c>
      <c r="O116">
        <f>M116&amp;": "&amp;N116</f>
        <v/>
      </c>
      <c r="P116">
        <f>IF(O116="","",IF(COUNTIF($O$1:O115,O116)=0,MAX($P$1:P115)+1,""))</f>
        <v/>
      </c>
      <c r="Q116">
        <f>IF(A116="","",COUNTIF($A$2:A116,A116))</f>
        <v/>
      </c>
      <c r="R116">
        <f>IF(A116="","",MAX($R$1:R115)+1)</f>
        <v/>
      </c>
    </row>
    <row r="117">
      <c r="A117" s="2" t="n"/>
      <c r="H117" s="3" t="n"/>
      <c r="I117" s="3" t="n"/>
      <c r="J117" s="4">
        <f>IF(AND(H117&lt;&gt;"",I117&lt;&gt;""),(I117-H117)*24,"")</f>
        <v/>
      </c>
      <c r="M117">
        <f>IF(C117&lt;&gt;"",C117,M116)</f>
        <v/>
      </c>
      <c r="N117">
        <f>IF(D117&lt;&gt;"",D117,N116)</f>
        <v/>
      </c>
      <c r="O117">
        <f>M117&amp;": "&amp;N117</f>
        <v/>
      </c>
      <c r="P117">
        <f>IF(O117="","",IF(COUNTIF($O$1:O116,O117)=0,MAX($P$1:P116)+1,""))</f>
        <v/>
      </c>
      <c r="Q117">
        <f>IF(A117="","",COUNTIF($A$2:A117,A117))</f>
        <v/>
      </c>
      <c r="R117">
        <f>IF(A117="","",MAX($R$1:R116)+1)</f>
        <v/>
      </c>
    </row>
    <row r="118">
      <c r="A118" s="2" t="n"/>
      <c r="H118" s="3" t="n"/>
      <c r="I118" s="3" t="n"/>
      <c r="J118" s="4">
        <f>IF(AND(H118&lt;&gt;"",I118&lt;&gt;""),(I118-H118)*24,"")</f>
        <v/>
      </c>
      <c r="M118">
        <f>IF(C118&lt;&gt;"",C118,M117)</f>
        <v/>
      </c>
      <c r="N118">
        <f>IF(D118&lt;&gt;"",D118,N117)</f>
        <v/>
      </c>
      <c r="O118">
        <f>M118&amp;": "&amp;N118</f>
        <v/>
      </c>
      <c r="P118">
        <f>IF(O118="","",IF(COUNTIF($O$1:O117,O118)=0,MAX($P$1:P117)+1,""))</f>
        <v/>
      </c>
      <c r="Q118">
        <f>IF(A118="","",COUNTIF($A$2:A118,A118))</f>
        <v/>
      </c>
      <c r="R118">
        <f>IF(A118="","",MAX($R$1:R117)+1)</f>
        <v/>
      </c>
    </row>
    <row r="119">
      <c r="A119" s="2" t="n"/>
      <c r="H119" s="3" t="n"/>
      <c r="I119" s="3" t="n"/>
      <c r="J119" s="4">
        <f>IF(AND(H119&lt;&gt;"",I119&lt;&gt;""),(I119-H119)*24,"")</f>
        <v/>
      </c>
      <c r="M119">
        <f>IF(C119&lt;&gt;"",C119,M118)</f>
        <v/>
      </c>
      <c r="N119">
        <f>IF(D119&lt;&gt;"",D119,N118)</f>
        <v/>
      </c>
      <c r="O119">
        <f>M119&amp;": "&amp;N119</f>
        <v/>
      </c>
      <c r="P119">
        <f>IF(O119="","",IF(COUNTIF($O$1:O118,O119)=0,MAX($P$1:P118)+1,""))</f>
        <v/>
      </c>
      <c r="Q119">
        <f>IF(A119="","",COUNTIF($A$2:A119,A119))</f>
        <v/>
      </c>
      <c r="R119">
        <f>IF(A119="","",MAX($R$1:R118)+1)</f>
        <v/>
      </c>
    </row>
    <row r="120">
      <c r="A120" s="2" t="n"/>
      <c r="H120" s="3" t="n"/>
      <c r="I120" s="3" t="n"/>
      <c r="J120" s="4">
        <f>IF(AND(H120&lt;&gt;"",I120&lt;&gt;""),(I120-H120)*24,"")</f>
        <v/>
      </c>
      <c r="M120">
        <f>IF(C120&lt;&gt;"",C120,M119)</f>
        <v/>
      </c>
      <c r="N120">
        <f>IF(D120&lt;&gt;"",D120,N119)</f>
        <v/>
      </c>
      <c r="O120">
        <f>M120&amp;": "&amp;N120</f>
        <v/>
      </c>
      <c r="P120">
        <f>IF(O120="","",IF(COUNTIF($O$1:O119,O120)=0,MAX($P$1:P119)+1,""))</f>
        <v/>
      </c>
      <c r="Q120">
        <f>IF(A120="","",COUNTIF($A$2:A120,A120))</f>
        <v/>
      </c>
      <c r="R120">
        <f>IF(A120="","",MAX($R$1:R119)+1)</f>
        <v/>
      </c>
    </row>
    <row r="121">
      <c r="A121" s="2" t="n"/>
      <c r="H121" s="3" t="n"/>
      <c r="I121" s="3" t="n"/>
      <c r="J121" s="4">
        <f>IF(AND(H121&lt;&gt;"",I121&lt;&gt;""),(I121-H121)*24,"")</f>
        <v/>
      </c>
      <c r="M121">
        <f>IF(C121&lt;&gt;"",C121,M120)</f>
        <v/>
      </c>
      <c r="N121">
        <f>IF(D121&lt;&gt;"",D121,N120)</f>
        <v/>
      </c>
      <c r="O121">
        <f>M121&amp;": "&amp;N121</f>
        <v/>
      </c>
      <c r="P121">
        <f>IF(O121="","",IF(COUNTIF($O$1:O120,O121)=0,MAX($P$1:P120)+1,""))</f>
        <v/>
      </c>
      <c r="Q121">
        <f>IF(A121="","",COUNTIF($A$2:A121,A121))</f>
        <v/>
      </c>
      <c r="R121">
        <f>IF(A121="","",MAX($R$1:R120)+1)</f>
        <v/>
      </c>
    </row>
    <row r="122">
      <c r="A122" s="2" t="n"/>
      <c r="H122" s="3" t="n"/>
      <c r="I122" s="3" t="n"/>
      <c r="J122" s="4">
        <f>IF(AND(H122&lt;&gt;"",I122&lt;&gt;""),(I122-H122)*24,"")</f>
        <v/>
      </c>
      <c r="M122">
        <f>IF(C122&lt;&gt;"",C122,M121)</f>
        <v/>
      </c>
      <c r="N122">
        <f>IF(D122&lt;&gt;"",D122,N121)</f>
        <v/>
      </c>
      <c r="O122">
        <f>M122&amp;": "&amp;N122</f>
        <v/>
      </c>
      <c r="P122">
        <f>IF(O122="","",IF(COUNTIF($O$1:O121,O122)=0,MAX($P$1:P121)+1,""))</f>
        <v/>
      </c>
      <c r="Q122">
        <f>IF(A122="","",COUNTIF($A$2:A122,A122))</f>
        <v/>
      </c>
      <c r="R122">
        <f>IF(A122="","",MAX($R$1:R121)+1)</f>
        <v/>
      </c>
    </row>
    <row r="123">
      <c r="A123" s="2" t="n"/>
      <c r="H123" s="3" t="n"/>
      <c r="I123" s="3" t="n"/>
      <c r="J123" s="4">
        <f>IF(AND(H123&lt;&gt;"",I123&lt;&gt;""),(I123-H123)*24,"")</f>
        <v/>
      </c>
      <c r="M123">
        <f>IF(C123&lt;&gt;"",C123,M122)</f>
        <v/>
      </c>
      <c r="N123">
        <f>IF(D123&lt;&gt;"",D123,N122)</f>
        <v/>
      </c>
      <c r="O123">
        <f>M123&amp;": "&amp;N123</f>
        <v/>
      </c>
      <c r="P123">
        <f>IF(O123="","",IF(COUNTIF($O$1:O122,O123)=0,MAX($P$1:P122)+1,""))</f>
        <v/>
      </c>
      <c r="Q123">
        <f>IF(A123="","",COUNTIF($A$2:A123,A123))</f>
        <v/>
      </c>
      <c r="R123">
        <f>IF(A123="","",MAX($R$1:R122)+1)</f>
        <v/>
      </c>
    </row>
    <row r="124">
      <c r="A124" s="2" t="n"/>
      <c r="H124" s="3" t="n"/>
      <c r="I124" s="3" t="n"/>
      <c r="J124" s="4">
        <f>IF(AND(H124&lt;&gt;"",I124&lt;&gt;""),(I124-H124)*24,"")</f>
        <v/>
      </c>
      <c r="M124">
        <f>IF(C124&lt;&gt;"",C124,M123)</f>
        <v/>
      </c>
      <c r="N124">
        <f>IF(D124&lt;&gt;"",D124,N123)</f>
        <v/>
      </c>
      <c r="O124">
        <f>M124&amp;": "&amp;N124</f>
        <v/>
      </c>
      <c r="P124">
        <f>IF(O124="","",IF(COUNTIF($O$1:O123,O124)=0,MAX($P$1:P123)+1,""))</f>
        <v/>
      </c>
      <c r="Q124">
        <f>IF(A124="","",COUNTIF($A$2:A124,A124))</f>
        <v/>
      </c>
      <c r="R124">
        <f>IF(A124="","",MAX($R$1:R123)+1)</f>
        <v/>
      </c>
    </row>
    <row r="125">
      <c r="A125" s="2" t="n"/>
      <c r="H125" s="3" t="n"/>
      <c r="I125" s="3" t="n"/>
      <c r="J125" s="4">
        <f>IF(AND(H125&lt;&gt;"",I125&lt;&gt;""),(I125-H125)*24,"")</f>
        <v/>
      </c>
      <c r="M125">
        <f>IF(C125&lt;&gt;"",C125,M124)</f>
        <v/>
      </c>
      <c r="N125">
        <f>IF(D125&lt;&gt;"",D125,N124)</f>
        <v/>
      </c>
      <c r="O125">
        <f>M125&amp;": "&amp;N125</f>
        <v/>
      </c>
      <c r="P125">
        <f>IF(O125="","",IF(COUNTIF($O$1:O124,O125)=0,MAX($P$1:P124)+1,""))</f>
        <v/>
      </c>
      <c r="Q125">
        <f>IF(A125="","",COUNTIF($A$2:A125,A125))</f>
        <v/>
      </c>
      <c r="R125">
        <f>IF(A125="","",MAX($R$1:R124)+1)</f>
        <v/>
      </c>
    </row>
    <row r="126">
      <c r="A126" s="2" t="n"/>
      <c r="H126" s="3" t="n"/>
      <c r="I126" s="3" t="n"/>
      <c r="J126" s="4">
        <f>IF(AND(H126&lt;&gt;"",I126&lt;&gt;""),(I126-H126)*24,"")</f>
        <v/>
      </c>
      <c r="M126">
        <f>IF(C126&lt;&gt;"",C126,M125)</f>
        <v/>
      </c>
      <c r="N126">
        <f>IF(D126&lt;&gt;"",D126,N125)</f>
        <v/>
      </c>
      <c r="O126">
        <f>M126&amp;": "&amp;N126</f>
        <v/>
      </c>
      <c r="P126">
        <f>IF(O126="","",IF(COUNTIF($O$1:O125,O126)=0,MAX($P$1:P125)+1,""))</f>
        <v/>
      </c>
      <c r="Q126">
        <f>IF(A126="","",COUNTIF($A$2:A126,A126))</f>
        <v/>
      </c>
      <c r="R126">
        <f>IF(A126="","",MAX($R$1:R125)+1)</f>
        <v/>
      </c>
    </row>
    <row r="127">
      <c r="A127" s="2" t="n"/>
      <c r="H127" s="3" t="n"/>
      <c r="I127" s="3" t="n"/>
      <c r="J127" s="4">
        <f>IF(AND(H127&lt;&gt;"",I127&lt;&gt;""),(I127-H127)*24,"")</f>
        <v/>
      </c>
      <c r="M127">
        <f>IF(C127&lt;&gt;"",C127,M126)</f>
        <v/>
      </c>
      <c r="N127">
        <f>IF(D127&lt;&gt;"",D127,N126)</f>
        <v/>
      </c>
      <c r="O127">
        <f>M127&amp;": "&amp;N127</f>
        <v/>
      </c>
      <c r="P127">
        <f>IF(O127="","",IF(COUNTIF($O$1:O126,O127)=0,MAX($P$1:P126)+1,""))</f>
        <v/>
      </c>
      <c r="Q127">
        <f>IF(A127="","",COUNTIF($A$2:A127,A127))</f>
        <v/>
      </c>
      <c r="R127">
        <f>IF(A127="","",MAX($R$1:R126)+1)</f>
        <v/>
      </c>
    </row>
    <row r="128">
      <c r="A128" s="2" t="n"/>
      <c r="H128" s="3" t="n"/>
      <c r="I128" s="3" t="n"/>
      <c r="J128" s="4">
        <f>IF(AND(H128&lt;&gt;"",I128&lt;&gt;""),(I128-H128)*24,"")</f>
        <v/>
      </c>
      <c r="M128">
        <f>IF(C128&lt;&gt;"",C128,M127)</f>
        <v/>
      </c>
      <c r="N128">
        <f>IF(D128&lt;&gt;"",D128,N127)</f>
        <v/>
      </c>
      <c r="O128">
        <f>M128&amp;": "&amp;N128</f>
        <v/>
      </c>
      <c r="P128">
        <f>IF(O128="","",IF(COUNTIF($O$1:O127,O128)=0,MAX($P$1:P127)+1,""))</f>
        <v/>
      </c>
      <c r="Q128">
        <f>IF(A128="","",COUNTIF($A$2:A128,A128))</f>
        <v/>
      </c>
      <c r="R128">
        <f>IF(A128="","",MAX($R$1:R127)+1)</f>
        <v/>
      </c>
    </row>
    <row r="129">
      <c r="A129" s="2" t="n"/>
      <c r="H129" s="3" t="n"/>
      <c r="I129" s="3" t="n"/>
      <c r="J129" s="4">
        <f>IF(AND(H129&lt;&gt;"",I129&lt;&gt;""),(I129-H129)*24,"")</f>
        <v/>
      </c>
      <c r="M129">
        <f>IF(C129&lt;&gt;"",C129,M128)</f>
        <v/>
      </c>
      <c r="N129">
        <f>IF(D129&lt;&gt;"",D129,N128)</f>
        <v/>
      </c>
      <c r="O129">
        <f>M129&amp;": "&amp;N129</f>
        <v/>
      </c>
      <c r="P129">
        <f>IF(O129="","",IF(COUNTIF($O$1:O128,O129)=0,MAX($P$1:P128)+1,""))</f>
        <v/>
      </c>
      <c r="Q129">
        <f>IF(A129="","",COUNTIF($A$2:A129,A129))</f>
        <v/>
      </c>
      <c r="R129">
        <f>IF(A129="","",MAX($R$1:R128)+1)</f>
        <v/>
      </c>
    </row>
    <row r="130">
      <c r="A130" s="2" t="n"/>
      <c r="H130" s="3" t="n"/>
      <c r="I130" s="3" t="n"/>
      <c r="J130" s="4">
        <f>IF(AND(H130&lt;&gt;"",I130&lt;&gt;""),(I130-H130)*24,"")</f>
        <v/>
      </c>
      <c r="M130">
        <f>IF(C130&lt;&gt;"",C130,M129)</f>
        <v/>
      </c>
      <c r="N130">
        <f>IF(D130&lt;&gt;"",D130,N129)</f>
        <v/>
      </c>
      <c r="O130">
        <f>M130&amp;": "&amp;N130</f>
        <v/>
      </c>
      <c r="P130">
        <f>IF(O130="","",IF(COUNTIF($O$1:O129,O130)=0,MAX($P$1:P129)+1,""))</f>
        <v/>
      </c>
      <c r="Q130">
        <f>IF(A130="","",COUNTIF($A$2:A130,A130))</f>
        <v/>
      </c>
      <c r="R130">
        <f>IF(A130="","",MAX($R$1:R129)+1)</f>
        <v/>
      </c>
    </row>
    <row r="131">
      <c r="A131" s="2" t="n"/>
      <c r="H131" s="3" t="n"/>
      <c r="I131" s="3" t="n"/>
      <c r="J131" s="4">
        <f>IF(AND(H131&lt;&gt;"",I131&lt;&gt;""),(I131-H131)*24,"")</f>
        <v/>
      </c>
      <c r="M131">
        <f>IF(C131&lt;&gt;"",C131,M130)</f>
        <v/>
      </c>
      <c r="N131">
        <f>IF(D131&lt;&gt;"",D131,N130)</f>
        <v/>
      </c>
      <c r="O131">
        <f>M131&amp;": "&amp;N131</f>
        <v/>
      </c>
      <c r="P131">
        <f>IF(O131="","",IF(COUNTIF($O$1:O130,O131)=0,MAX($P$1:P130)+1,""))</f>
        <v/>
      </c>
      <c r="Q131">
        <f>IF(A131="","",COUNTIF($A$2:A131,A131))</f>
        <v/>
      </c>
      <c r="R131">
        <f>IF(A131="","",MAX($R$1:R130)+1)</f>
        <v/>
      </c>
    </row>
    <row r="132">
      <c r="A132" s="2" t="n"/>
      <c r="H132" s="3" t="n"/>
      <c r="I132" s="3" t="n"/>
      <c r="J132" s="4">
        <f>IF(AND(H132&lt;&gt;"",I132&lt;&gt;""),(I132-H132)*24,"")</f>
        <v/>
      </c>
      <c r="M132">
        <f>IF(C132&lt;&gt;"",C132,M131)</f>
        <v/>
      </c>
      <c r="N132">
        <f>IF(D132&lt;&gt;"",D132,N131)</f>
        <v/>
      </c>
      <c r="O132">
        <f>M132&amp;": "&amp;N132</f>
        <v/>
      </c>
      <c r="P132">
        <f>IF(O132="","",IF(COUNTIF($O$1:O131,O132)=0,MAX($P$1:P131)+1,""))</f>
        <v/>
      </c>
      <c r="Q132">
        <f>IF(A132="","",COUNTIF($A$2:A132,A132))</f>
        <v/>
      </c>
      <c r="R132">
        <f>IF(A132="","",MAX($R$1:R131)+1)</f>
        <v/>
      </c>
    </row>
    <row r="133">
      <c r="A133" s="2" t="n"/>
      <c r="H133" s="3" t="n"/>
      <c r="I133" s="3" t="n"/>
      <c r="J133" s="4">
        <f>IF(AND(H133&lt;&gt;"",I133&lt;&gt;""),(I133-H133)*24,"")</f>
        <v/>
      </c>
      <c r="M133">
        <f>IF(C133&lt;&gt;"",C133,M132)</f>
        <v/>
      </c>
      <c r="N133">
        <f>IF(D133&lt;&gt;"",D133,N132)</f>
        <v/>
      </c>
      <c r="O133">
        <f>M133&amp;": "&amp;N133</f>
        <v/>
      </c>
      <c r="P133">
        <f>IF(O133="","",IF(COUNTIF($O$1:O132,O133)=0,MAX($P$1:P132)+1,""))</f>
        <v/>
      </c>
      <c r="Q133">
        <f>IF(A133="","",COUNTIF($A$2:A133,A133))</f>
        <v/>
      </c>
      <c r="R133">
        <f>IF(A133="","",MAX($R$1:R132)+1)</f>
        <v/>
      </c>
    </row>
    <row r="134">
      <c r="A134" s="2" t="n"/>
      <c r="H134" s="3" t="n"/>
      <c r="I134" s="3" t="n"/>
      <c r="J134" s="4">
        <f>IF(AND(H134&lt;&gt;"",I134&lt;&gt;""),(I134-H134)*24,"")</f>
        <v/>
      </c>
      <c r="M134">
        <f>IF(C134&lt;&gt;"",C134,M133)</f>
        <v/>
      </c>
      <c r="N134">
        <f>IF(D134&lt;&gt;"",D134,N133)</f>
        <v/>
      </c>
      <c r="O134">
        <f>M134&amp;": "&amp;N134</f>
        <v/>
      </c>
      <c r="P134">
        <f>IF(O134="","",IF(COUNTIF($O$1:O133,O134)=0,MAX($P$1:P133)+1,""))</f>
        <v/>
      </c>
      <c r="Q134">
        <f>IF(A134="","",COUNTIF($A$2:A134,A134))</f>
        <v/>
      </c>
      <c r="R134">
        <f>IF(A134="","",MAX($R$1:R133)+1)</f>
        <v/>
      </c>
    </row>
    <row r="135">
      <c r="A135" s="2" t="n"/>
      <c r="H135" s="3" t="n"/>
      <c r="I135" s="3" t="n"/>
      <c r="J135" s="4">
        <f>IF(AND(H135&lt;&gt;"",I135&lt;&gt;""),(I135-H135)*24,"")</f>
        <v/>
      </c>
      <c r="M135">
        <f>IF(C135&lt;&gt;"",C135,M134)</f>
        <v/>
      </c>
      <c r="N135">
        <f>IF(D135&lt;&gt;"",D135,N134)</f>
        <v/>
      </c>
      <c r="O135">
        <f>M135&amp;": "&amp;N135</f>
        <v/>
      </c>
      <c r="P135">
        <f>IF(O135="","",IF(COUNTIF($O$1:O134,O135)=0,MAX($P$1:P134)+1,""))</f>
        <v/>
      </c>
      <c r="Q135">
        <f>IF(A135="","",COUNTIF($A$2:A135,A135))</f>
        <v/>
      </c>
      <c r="R135">
        <f>IF(A135="","",MAX($R$1:R134)+1)</f>
        <v/>
      </c>
    </row>
    <row r="136">
      <c r="A136" s="2" t="n"/>
      <c r="H136" s="3" t="n"/>
      <c r="I136" s="3" t="n"/>
      <c r="J136" s="4">
        <f>IF(AND(H136&lt;&gt;"",I136&lt;&gt;""),(I136-H136)*24,"")</f>
        <v/>
      </c>
      <c r="M136">
        <f>IF(C136&lt;&gt;"",C136,M135)</f>
        <v/>
      </c>
      <c r="N136">
        <f>IF(D136&lt;&gt;"",D136,N135)</f>
        <v/>
      </c>
      <c r="O136">
        <f>M136&amp;": "&amp;N136</f>
        <v/>
      </c>
      <c r="P136">
        <f>IF(O136="","",IF(COUNTIF($O$1:O135,O136)=0,MAX($P$1:P135)+1,""))</f>
        <v/>
      </c>
      <c r="Q136">
        <f>IF(A136="","",COUNTIF($A$2:A136,A136))</f>
        <v/>
      </c>
      <c r="R136">
        <f>IF(A136="","",MAX($R$1:R135)+1)</f>
        <v/>
      </c>
    </row>
    <row r="137">
      <c r="A137" s="2" t="n"/>
      <c r="H137" s="3" t="n"/>
      <c r="I137" s="3" t="n"/>
      <c r="J137" s="4">
        <f>IF(AND(H137&lt;&gt;"",I137&lt;&gt;""),(I137-H137)*24,"")</f>
        <v/>
      </c>
      <c r="M137">
        <f>IF(C137&lt;&gt;"",C137,M136)</f>
        <v/>
      </c>
      <c r="N137">
        <f>IF(D137&lt;&gt;"",D137,N136)</f>
        <v/>
      </c>
      <c r="O137">
        <f>M137&amp;": "&amp;N137</f>
        <v/>
      </c>
      <c r="P137">
        <f>IF(O137="","",IF(COUNTIF($O$1:O136,O137)=0,MAX($P$1:P136)+1,""))</f>
        <v/>
      </c>
      <c r="Q137">
        <f>IF(A137="","",COUNTIF($A$2:A137,A137))</f>
        <v/>
      </c>
      <c r="R137">
        <f>IF(A137="","",MAX($R$1:R136)+1)</f>
        <v/>
      </c>
    </row>
    <row r="138">
      <c r="A138" s="2" t="n"/>
      <c r="H138" s="3" t="n"/>
      <c r="I138" s="3" t="n"/>
      <c r="J138" s="4">
        <f>IF(AND(H138&lt;&gt;"",I138&lt;&gt;""),(I138-H138)*24,"")</f>
        <v/>
      </c>
      <c r="M138">
        <f>IF(C138&lt;&gt;"",C138,M137)</f>
        <v/>
      </c>
      <c r="N138">
        <f>IF(D138&lt;&gt;"",D138,N137)</f>
        <v/>
      </c>
      <c r="O138">
        <f>M138&amp;": "&amp;N138</f>
        <v/>
      </c>
      <c r="P138">
        <f>IF(O138="","",IF(COUNTIF($O$1:O137,O138)=0,MAX($P$1:P137)+1,""))</f>
        <v/>
      </c>
      <c r="Q138">
        <f>IF(A138="","",COUNTIF($A$2:A138,A138))</f>
        <v/>
      </c>
      <c r="R138">
        <f>IF(A138="","",MAX($R$1:R137)+1)</f>
        <v/>
      </c>
    </row>
    <row r="139">
      <c r="A139" s="2" t="n"/>
      <c r="H139" s="3" t="n"/>
      <c r="I139" s="3" t="n"/>
      <c r="J139" s="4">
        <f>IF(AND(H139&lt;&gt;"",I139&lt;&gt;""),(I139-H139)*24,"")</f>
        <v/>
      </c>
      <c r="M139">
        <f>IF(C139&lt;&gt;"",C139,M138)</f>
        <v/>
      </c>
      <c r="N139">
        <f>IF(D139&lt;&gt;"",D139,N138)</f>
        <v/>
      </c>
      <c r="O139">
        <f>M139&amp;": "&amp;N139</f>
        <v/>
      </c>
      <c r="P139">
        <f>IF(O139="","",IF(COUNTIF($O$1:O138,O139)=0,MAX($P$1:P138)+1,""))</f>
        <v/>
      </c>
      <c r="Q139">
        <f>IF(A139="","",COUNTIF($A$2:A139,A139))</f>
        <v/>
      </c>
      <c r="R139">
        <f>IF(A139="","",MAX($R$1:R138)+1)</f>
        <v/>
      </c>
    </row>
    <row r="140">
      <c r="A140" s="2" t="n"/>
      <c r="H140" s="3" t="n"/>
      <c r="I140" s="3" t="n"/>
      <c r="J140" s="4">
        <f>IF(AND(H140&lt;&gt;"",I140&lt;&gt;""),(I140-H140)*24,"")</f>
        <v/>
      </c>
      <c r="M140">
        <f>IF(C140&lt;&gt;"",C140,M139)</f>
        <v/>
      </c>
      <c r="N140">
        <f>IF(D140&lt;&gt;"",D140,N139)</f>
        <v/>
      </c>
      <c r="O140">
        <f>M140&amp;": "&amp;N140</f>
        <v/>
      </c>
      <c r="P140">
        <f>IF(O140="","",IF(COUNTIF($O$1:O139,O140)=0,MAX($P$1:P139)+1,""))</f>
        <v/>
      </c>
      <c r="Q140">
        <f>IF(A140="","",COUNTIF($A$2:A140,A140))</f>
        <v/>
      </c>
      <c r="R140">
        <f>IF(A140="","",MAX($R$1:R139)+1)</f>
        <v/>
      </c>
    </row>
    <row r="141">
      <c r="A141" s="2" t="n"/>
      <c r="H141" s="3" t="n"/>
      <c r="I141" s="3" t="n"/>
      <c r="J141" s="4">
        <f>IF(AND(H141&lt;&gt;"",I141&lt;&gt;""),(I141-H141)*24,"")</f>
        <v/>
      </c>
      <c r="M141">
        <f>IF(C141&lt;&gt;"",C141,M140)</f>
        <v/>
      </c>
      <c r="N141">
        <f>IF(D141&lt;&gt;"",D141,N140)</f>
        <v/>
      </c>
      <c r="O141">
        <f>M141&amp;": "&amp;N141</f>
        <v/>
      </c>
      <c r="P141">
        <f>IF(O141="","",IF(COUNTIF($O$1:O140,O141)=0,MAX($P$1:P140)+1,""))</f>
        <v/>
      </c>
      <c r="Q141">
        <f>IF(A141="","",COUNTIF($A$2:A141,A141))</f>
        <v/>
      </c>
      <c r="R141">
        <f>IF(A141="","",MAX($R$1:R140)+1)</f>
        <v/>
      </c>
    </row>
    <row r="142">
      <c r="A142" s="2" t="n"/>
      <c r="H142" s="3" t="n"/>
      <c r="I142" s="3" t="n"/>
      <c r="J142" s="4">
        <f>IF(AND(H142&lt;&gt;"",I142&lt;&gt;""),(I142-H142)*24,"")</f>
        <v/>
      </c>
      <c r="M142">
        <f>IF(C142&lt;&gt;"",C142,M141)</f>
        <v/>
      </c>
      <c r="N142">
        <f>IF(D142&lt;&gt;"",D142,N141)</f>
        <v/>
      </c>
      <c r="O142">
        <f>M142&amp;": "&amp;N142</f>
        <v/>
      </c>
      <c r="P142">
        <f>IF(O142="","",IF(COUNTIF($O$1:O141,O142)=0,MAX($P$1:P141)+1,""))</f>
        <v/>
      </c>
      <c r="Q142">
        <f>IF(A142="","",COUNTIF($A$2:A142,A142))</f>
        <v/>
      </c>
      <c r="R142">
        <f>IF(A142="","",MAX($R$1:R141)+1)</f>
        <v/>
      </c>
    </row>
    <row r="143">
      <c r="A143" s="2" t="n"/>
      <c r="H143" s="3" t="n"/>
      <c r="I143" s="3" t="n"/>
      <c r="J143" s="4">
        <f>IF(AND(H143&lt;&gt;"",I143&lt;&gt;""),(I143-H143)*24,"")</f>
        <v/>
      </c>
      <c r="M143">
        <f>IF(C143&lt;&gt;"",C143,M142)</f>
        <v/>
      </c>
      <c r="N143">
        <f>IF(D143&lt;&gt;"",D143,N142)</f>
        <v/>
      </c>
      <c r="O143">
        <f>M143&amp;": "&amp;N143</f>
        <v/>
      </c>
      <c r="P143">
        <f>IF(O143="","",IF(COUNTIF($O$1:O142,O143)=0,MAX($P$1:P142)+1,""))</f>
        <v/>
      </c>
      <c r="Q143">
        <f>IF(A143="","",COUNTIF($A$2:A143,A143))</f>
        <v/>
      </c>
      <c r="R143">
        <f>IF(A143="","",MAX($R$1:R142)+1)</f>
        <v/>
      </c>
    </row>
    <row r="144">
      <c r="A144" s="2" t="n"/>
      <c r="H144" s="3" t="n"/>
      <c r="I144" s="3" t="n"/>
      <c r="J144" s="4">
        <f>IF(AND(H144&lt;&gt;"",I144&lt;&gt;""),(I144-H144)*24,"")</f>
        <v/>
      </c>
      <c r="M144">
        <f>IF(C144&lt;&gt;"",C144,M143)</f>
        <v/>
      </c>
      <c r="N144">
        <f>IF(D144&lt;&gt;"",D144,N143)</f>
        <v/>
      </c>
      <c r="O144">
        <f>M144&amp;": "&amp;N144</f>
        <v/>
      </c>
      <c r="P144">
        <f>IF(O144="","",IF(COUNTIF($O$1:O143,O144)=0,MAX($P$1:P143)+1,""))</f>
        <v/>
      </c>
      <c r="Q144">
        <f>IF(A144="","",COUNTIF($A$2:A144,A144))</f>
        <v/>
      </c>
      <c r="R144">
        <f>IF(A144="","",MAX($R$1:R143)+1)</f>
        <v/>
      </c>
    </row>
    <row r="145">
      <c r="A145" s="2" t="n"/>
      <c r="H145" s="3" t="n"/>
      <c r="I145" s="3" t="n"/>
      <c r="J145" s="4">
        <f>IF(AND(H145&lt;&gt;"",I145&lt;&gt;""),(I145-H145)*24,"")</f>
        <v/>
      </c>
      <c r="M145">
        <f>IF(C145&lt;&gt;"",C145,M144)</f>
        <v/>
      </c>
      <c r="N145">
        <f>IF(D145&lt;&gt;"",D145,N144)</f>
        <v/>
      </c>
      <c r="O145">
        <f>M145&amp;": "&amp;N145</f>
        <v/>
      </c>
      <c r="P145">
        <f>IF(O145="","",IF(COUNTIF($O$1:O144,O145)=0,MAX($P$1:P144)+1,""))</f>
        <v/>
      </c>
      <c r="Q145">
        <f>IF(A145="","",COUNTIF($A$2:A145,A145))</f>
        <v/>
      </c>
      <c r="R145">
        <f>IF(A145="","",MAX($R$1:R144)+1)</f>
        <v/>
      </c>
    </row>
    <row r="146">
      <c r="A146" s="2" t="n"/>
      <c r="H146" s="3" t="n"/>
      <c r="I146" s="3" t="n"/>
      <c r="J146" s="4">
        <f>IF(AND(H146&lt;&gt;"",I146&lt;&gt;""),(I146-H146)*24,"")</f>
        <v/>
      </c>
      <c r="M146">
        <f>IF(C146&lt;&gt;"",C146,M145)</f>
        <v/>
      </c>
      <c r="N146">
        <f>IF(D146&lt;&gt;"",D146,N145)</f>
        <v/>
      </c>
      <c r="O146">
        <f>M146&amp;": "&amp;N146</f>
        <v/>
      </c>
      <c r="P146">
        <f>IF(O146="","",IF(COUNTIF($O$1:O145,O146)=0,MAX($P$1:P145)+1,""))</f>
        <v/>
      </c>
      <c r="Q146">
        <f>IF(A146="","",COUNTIF($A$2:A146,A146))</f>
        <v/>
      </c>
      <c r="R146">
        <f>IF(A146="","",MAX($R$1:R145)+1)</f>
        <v/>
      </c>
    </row>
    <row r="147">
      <c r="A147" s="2" t="n"/>
      <c r="H147" s="3" t="n"/>
      <c r="I147" s="3" t="n"/>
      <c r="J147" s="4">
        <f>IF(AND(H147&lt;&gt;"",I147&lt;&gt;""),(I147-H147)*24,"")</f>
        <v/>
      </c>
      <c r="M147">
        <f>IF(C147&lt;&gt;"",C147,M146)</f>
        <v/>
      </c>
      <c r="N147">
        <f>IF(D147&lt;&gt;"",D147,N146)</f>
        <v/>
      </c>
      <c r="O147">
        <f>M147&amp;": "&amp;N147</f>
        <v/>
      </c>
      <c r="P147">
        <f>IF(O147="","",IF(COUNTIF($O$1:O146,O147)=0,MAX($P$1:P146)+1,""))</f>
        <v/>
      </c>
      <c r="Q147">
        <f>IF(A147="","",COUNTIF($A$2:A147,A147))</f>
        <v/>
      </c>
      <c r="R147">
        <f>IF(A147="","",MAX($R$1:R146)+1)</f>
        <v/>
      </c>
    </row>
    <row r="148">
      <c r="A148" s="2" t="n"/>
      <c r="H148" s="3" t="n"/>
      <c r="I148" s="3" t="n"/>
      <c r="J148" s="4">
        <f>IF(AND(H148&lt;&gt;"",I148&lt;&gt;""),(I148-H148)*24,"")</f>
        <v/>
      </c>
      <c r="M148">
        <f>IF(C148&lt;&gt;"",C148,M147)</f>
        <v/>
      </c>
      <c r="N148">
        <f>IF(D148&lt;&gt;"",D148,N147)</f>
        <v/>
      </c>
      <c r="O148">
        <f>M148&amp;": "&amp;N148</f>
        <v/>
      </c>
      <c r="P148">
        <f>IF(O148="","",IF(COUNTIF($O$1:O147,O148)=0,MAX($P$1:P147)+1,""))</f>
        <v/>
      </c>
      <c r="Q148">
        <f>IF(A148="","",COUNTIF($A$2:A148,A148))</f>
        <v/>
      </c>
      <c r="R148">
        <f>IF(A148="","",MAX($R$1:R147)+1)</f>
        <v/>
      </c>
    </row>
    <row r="149">
      <c r="A149" s="2" t="n"/>
      <c r="H149" s="3" t="n"/>
      <c r="I149" s="3" t="n"/>
      <c r="J149" s="4">
        <f>IF(AND(H149&lt;&gt;"",I149&lt;&gt;""),(I149-H149)*24,"")</f>
        <v/>
      </c>
      <c r="M149">
        <f>IF(C149&lt;&gt;"",C149,M148)</f>
        <v/>
      </c>
      <c r="N149">
        <f>IF(D149&lt;&gt;"",D149,N148)</f>
        <v/>
      </c>
      <c r="O149">
        <f>M149&amp;": "&amp;N149</f>
        <v/>
      </c>
      <c r="P149">
        <f>IF(O149="","",IF(COUNTIF($O$1:O148,O149)=0,MAX($P$1:P148)+1,""))</f>
        <v/>
      </c>
      <c r="Q149">
        <f>IF(A149="","",COUNTIF($A$2:A149,A149))</f>
        <v/>
      </c>
      <c r="R149">
        <f>IF(A149="","",MAX($R$1:R148)+1)</f>
        <v/>
      </c>
    </row>
    <row r="150">
      <c r="A150" s="2" t="n"/>
      <c r="H150" s="3" t="n"/>
      <c r="I150" s="3" t="n"/>
      <c r="J150" s="4">
        <f>IF(AND(H150&lt;&gt;"",I150&lt;&gt;""),(I150-H150)*24,"")</f>
        <v/>
      </c>
      <c r="M150">
        <f>IF(C150&lt;&gt;"",C150,M149)</f>
        <v/>
      </c>
      <c r="N150">
        <f>IF(D150&lt;&gt;"",D150,N149)</f>
        <v/>
      </c>
      <c r="O150">
        <f>M150&amp;": "&amp;N150</f>
        <v/>
      </c>
      <c r="P150">
        <f>IF(O150="","",IF(COUNTIF($O$1:O149,O150)=0,MAX($P$1:P149)+1,""))</f>
        <v/>
      </c>
      <c r="Q150">
        <f>IF(A150="","",COUNTIF($A$2:A150,A150))</f>
        <v/>
      </c>
      <c r="R150">
        <f>IF(A150="","",MAX($R$1:R149)+1)</f>
        <v/>
      </c>
    </row>
    <row r="151">
      <c r="A151" s="2" t="n"/>
      <c r="H151" s="3" t="n"/>
      <c r="I151" s="3" t="n"/>
      <c r="J151" s="4">
        <f>IF(AND(H151&lt;&gt;"",I151&lt;&gt;""),(I151-H151)*24,"")</f>
        <v/>
      </c>
      <c r="M151">
        <f>IF(C151&lt;&gt;"",C151,M150)</f>
        <v/>
      </c>
      <c r="N151">
        <f>IF(D151&lt;&gt;"",D151,N150)</f>
        <v/>
      </c>
      <c r="O151">
        <f>M151&amp;": "&amp;N151</f>
        <v/>
      </c>
      <c r="P151">
        <f>IF(O151="","",IF(COUNTIF($O$1:O150,O151)=0,MAX($P$1:P150)+1,""))</f>
        <v/>
      </c>
      <c r="Q151">
        <f>IF(A151="","",COUNTIF($A$2:A151,A151))</f>
        <v/>
      </c>
      <c r="R151">
        <f>IF(A151="","",MAX($R$1:R150)+1)</f>
        <v/>
      </c>
    </row>
    <row r="152">
      <c r="A152" s="2" t="n"/>
      <c r="H152" s="3" t="n"/>
      <c r="I152" s="3" t="n"/>
      <c r="J152" s="4">
        <f>IF(AND(H152&lt;&gt;"",I152&lt;&gt;""),(I152-H152)*24,"")</f>
        <v/>
      </c>
      <c r="M152">
        <f>IF(C152&lt;&gt;"",C152,M151)</f>
        <v/>
      </c>
      <c r="N152">
        <f>IF(D152&lt;&gt;"",D152,N151)</f>
        <v/>
      </c>
      <c r="O152">
        <f>M152&amp;": "&amp;N152</f>
        <v/>
      </c>
      <c r="P152">
        <f>IF(O152="","",IF(COUNTIF($O$1:O151,O152)=0,MAX($P$1:P151)+1,""))</f>
        <v/>
      </c>
      <c r="Q152">
        <f>IF(A152="","",COUNTIF($A$2:A152,A152))</f>
        <v/>
      </c>
      <c r="R152">
        <f>IF(A152="","",MAX($R$1:R151)+1)</f>
        <v/>
      </c>
    </row>
    <row r="153">
      <c r="A153" s="2" t="n"/>
      <c r="H153" s="3" t="n"/>
      <c r="I153" s="3" t="n"/>
      <c r="J153" s="4">
        <f>IF(AND(H153&lt;&gt;"",I153&lt;&gt;""),(I153-H153)*24,"")</f>
        <v/>
      </c>
      <c r="M153">
        <f>IF(C153&lt;&gt;"",C153,M152)</f>
        <v/>
      </c>
      <c r="N153">
        <f>IF(D153&lt;&gt;"",D153,N152)</f>
        <v/>
      </c>
      <c r="O153">
        <f>M153&amp;": "&amp;N153</f>
        <v/>
      </c>
      <c r="P153">
        <f>IF(O153="","",IF(COUNTIF($O$1:O152,O153)=0,MAX($P$1:P152)+1,""))</f>
        <v/>
      </c>
      <c r="Q153">
        <f>IF(A153="","",COUNTIF($A$2:A153,A153))</f>
        <v/>
      </c>
      <c r="R153">
        <f>IF(A153="","",MAX($R$1:R152)+1)</f>
        <v/>
      </c>
    </row>
    <row r="154">
      <c r="A154" s="2" t="n"/>
      <c r="H154" s="3" t="n"/>
      <c r="I154" s="3" t="n"/>
      <c r="J154" s="4">
        <f>IF(AND(H154&lt;&gt;"",I154&lt;&gt;""),(I154-H154)*24,"")</f>
        <v/>
      </c>
      <c r="M154">
        <f>IF(C154&lt;&gt;"",C154,M153)</f>
        <v/>
      </c>
      <c r="N154">
        <f>IF(D154&lt;&gt;"",D154,N153)</f>
        <v/>
      </c>
      <c r="O154">
        <f>M154&amp;": "&amp;N154</f>
        <v/>
      </c>
      <c r="P154">
        <f>IF(O154="","",IF(COUNTIF($O$1:O153,O154)=0,MAX($P$1:P153)+1,""))</f>
        <v/>
      </c>
      <c r="Q154">
        <f>IF(A154="","",COUNTIF($A$2:A154,A154))</f>
        <v/>
      </c>
      <c r="R154">
        <f>IF(A154="","",MAX($R$1:R153)+1)</f>
        <v/>
      </c>
    </row>
    <row r="155">
      <c r="A155" s="2" t="n"/>
      <c r="H155" s="3" t="n"/>
      <c r="I155" s="3" t="n"/>
      <c r="J155" s="4">
        <f>IF(AND(H155&lt;&gt;"",I155&lt;&gt;""),(I155-H155)*24,"")</f>
        <v/>
      </c>
      <c r="M155">
        <f>IF(C155&lt;&gt;"",C155,M154)</f>
        <v/>
      </c>
      <c r="N155">
        <f>IF(D155&lt;&gt;"",D155,N154)</f>
        <v/>
      </c>
      <c r="O155">
        <f>M155&amp;": "&amp;N155</f>
        <v/>
      </c>
      <c r="P155">
        <f>IF(O155="","",IF(COUNTIF($O$1:O154,O155)=0,MAX($P$1:P154)+1,""))</f>
        <v/>
      </c>
      <c r="Q155">
        <f>IF(A155="","",COUNTIF($A$2:A155,A155))</f>
        <v/>
      </c>
      <c r="R155">
        <f>IF(A155="","",MAX($R$1:R154)+1)</f>
        <v/>
      </c>
    </row>
    <row r="156">
      <c r="A156" s="2" t="n"/>
      <c r="H156" s="3" t="n"/>
      <c r="I156" s="3" t="n"/>
      <c r="J156" s="4">
        <f>IF(AND(H156&lt;&gt;"",I156&lt;&gt;""),(I156-H156)*24,"")</f>
        <v/>
      </c>
      <c r="M156">
        <f>IF(C156&lt;&gt;"",C156,M155)</f>
        <v/>
      </c>
      <c r="N156">
        <f>IF(D156&lt;&gt;"",D156,N155)</f>
        <v/>
      </c>
      <c r="O156">
        <f>M156&amp;": "&amp;N156</f>
        <v/>
      </c>
      <c r="P156">
        <f>IF(O156="","",IF(COUNTIF($O$1:O155,O156)=0,MAX($P$1:P155)+1,""))</f>
        <v/>
      </c>
      <c r="Q156">
        <f>IF(A156="","",COUNTIF($A$2:A156,A156))</f>
        <v/>
      </c>
      <c r="R156">
        <f>IF(A156="","",MAX($R$1:R155)+1)</f>
        <v/>
      </c>
    </row>
    <row r="157">
      <c r="A157" s="2" t="n"/>
      <c r="H157" s="3" t="n"/>
      <c r="I157" s="3" t="n"/>
      <c r="J157" s="4">
        <f>IF(AND(H157&lt;&gt;"",I157&lt;&gt;""),(I157-H157)*24,"")</f>
        <v/>
      </c>
      <c r="M157">
        <f>IF(C157&lt;&gt;"",C157,M156)</f>
        <v/>
      </c>
      <c r="N157">
        <f>IF(D157&lt;&gt;"",D157,N156)</f>
        <v/>
      </c>
      <c r="O157">
        <f>M157&amp;": "&amp;N157</f>
        <v/>
      </c>
      <c r="P157">
        <f>IF(O157="","",IF(COUNTIF($O$1:O156,O157)=0,MAX($P$1:P156)+1,""))</f>
        <v/>
      </c>
      <c r="Q157">
        <f>IF(A157="","",COUNTIF($A$2:A157,A157))</f>
        <v/>
      </c>
      <c r="R157">
        <f>IF(A157="","",MAX($R$1:R156)+1)</f>
        <v/>
      </c>
    </row>
    <row r="158">
      <c r="A158" s="2" t="n"/>
      <c r="H158" s="3" t="n"/>
      <c r="I158" s="3" t="n"/>
      <c r="J158" s="4">
        <f>IF(AND(H158&lt;&gt;"",I158&lt;&gt;""),(I158-H158)*24,"")</f>
        <v/>
      </c>
      <c r="M158">
        <f>IF(C158&lt;&gt;"",C158,M157)</f>
        <v/>
      </c>
      <c r="N158">
        <f>IF(D158&lt;&gt;"",D158,N157)</f>
        <v/>
      </c>
      <c r="O158">
        <f>M158&amp;": "&amp;N158</f>
        <v/>
      </c>
      <c r="P158">
        <f>IF(O158="","",IF(COUNTIF($O$1:O157,O158)=0,MAX($P$1:P157)+1,""))</f>
        <v/>
      </c>
      <c r="Q158">
        <f>IF(A158="","",COUNTIF($A$2:A158,A158))</f>
        <v/>
      </c>
      <c r="R158">
        <f>IF(A158="","",MAX($R$1:R157)+1)</f>
        <v/>
      </c>
    </row>
    <row r="159">
      <c r="A159" s="2" t="n"/>
      <c r="H159" s="3" t="n"/>
      <c r="I159" s="3" t="n"/>
      <c r="J159" s="4">
        <f>IF(AND(H159&lt;&gt;"",I159&lt;&gt;""),(I159-H159)*24,"")</f>
        <v/>
      </c>
      <c r="M159">
        <f>IF(C159&lt;&gt;"",C159,M158)</f>
        <v/>
      </c>
      <c r="N159">
        <f>IF(D159&lt;&gt;"",D159,N158)</f>
        <v/>
      </c>
      <c r="O159">
        <f>M159&amp;": "&amp;N159</f>
        <v/>
      </c>
      <c r="P159">
        <f>IF(O159="","",IF(COUNTIF($O$1:O158,O159)=0,MAX($P$1:P158)+1,""))</f>
        <v/>
      </c>
      <c r="Q159">
        <f>IF(A159="","",COUNTIF($A$2:A159,A159))</f>
        <v/>
      </c>
      <c r="R159">
        <f>IF(A159="","",MAX($R$1:R158)+1)</f>
        <v/>
      </c>
    </row>
    <row r="160">
      <c r="A160" s="2" t="n"/>
      <c r="H160" s="3" t="n"/>
      <c r="I160" s="3" t="n"/>
      <c r="J160" s="4">
        <f>IF(AND(H160&lt;&gt;"",I160&lt;&gt;""),(I160-H160)*24,"")</f>
        <v/>
      </c>
      <c r="M160">
        <f>IF(C160&lt;&gt;"",C160,M159)</f>
        <v/>
      </c>
      <c r="N160">
        <f>IF(D160&lt;&gt;"",D160,N159)</f>
        <v/>
      </c>
      <c r="O160">
        <f>M160&amp;": "&amp;N160</f>
        <v/>
      </c>
      <c r="P160">
        <f>IF(O160="","",IF(COUNTIF($O$1:O159,O160)=0,MAX($P$1:P159)+1,""))</f>
        <v/>
      </c>
      <c r="Q160">
        <f>IF(A160="","",COUNTIF($A$2:A160,A160))</f>
        <v/>
      </c>
      <c r="R160">
        <f>IF(A160="","",MAX($R$1:R159)+1)</f>
        <v/>
      </c>
    </row>
    <row r="161">
      <c r="A161" s="2" t="n"/>
      <c r="H161" s="3" t="n"/>
      <c r="I161" s="3" t="n"/>
      <c r="J161" s="4">
        <f>IF(AND(H161&lt;&gt;"",I161&lt;&gt;""),(I161-H161)*24,"")</f>
        <v/>
      </c>
      <c r="M161">
        <f>IF(C161&lt;&gt;"",C161,M160)</f>
        <v/>
      </c>
      <c r="N161">
        <f>IF(D161&lt;&gt;"",D161,N160)</f>
        <v/>
      </c>
      <c r="O161">
        <f>M161&amp;": "&amp;N161</f>
        <v/>
      </c>
      <c r="P161">
        <f>IF(O161="","",IF(COUNTIF($O$1:O160,O161)=0,MAX($P$1:P160)+1,""))</f>
        <v/>
      </c>
      <c r="Q161">
        <f>IF(A161="","",COUNTIF($A$2:A161,A161))</f>
        <v/>
      </c>
      <c r="R161">
        <f>IF(A161="","",MAX($R$1:R160)+1)</f>
        <v/>
      </c>
    </row>
    <row r="162">
      <c r="A162" s="2" t="n"/>
      <c r="H162" s="3" t="n"/>
      <c r="I162" s="3" t="n"/>
      <c r="J162" s="4">
        <f>IF(AND(H162&lt;&gt;"",I162&lt;&gt;""),(I162-H162)*24,"")</f>
        <v/>
      </c>
      <c r="M162">
        <f>IF(C162&lt;&gt;"",C162,M161)</f>
        <v/>
      </c>
      <c r="N162">
        <f>IF(D162&lt;&gt;"",D162,N161)</f>
        <v/>
      </c>
      <c r="O162">
        <f>M162&amp;": "&amp;N162</f>
        <v/>
      </c>
      <c r="P162">
        <f>IF(O162="","",IF(COUNTIF($O$1:O161,O162)=0,MAX($P$1:P161)+1,""))</f>
        <v/>
      </c>
      <c r="Q162">
        <f>IF(A162="","",COUNTIF($A$2:A162,A162))</f>
        <v/>
      </c>
      <c r="R162">
        <f>IF(A162="","",MAX($R$1:R161)+1)</f>
        <v/>
      </c>
    </row>
    <row r="163">
      <c r="A163" s="2" t="n"/>
      <c r="H163" s="3" t="n"/>
      <c r="I163" s="3" t="n"/>
      <c r="J163" s="4">
        <f>IF(AND(H163&lt;&gt;"",I163&lt;&gt;""),(I163-H163)*24,"")</f>
        <v/>
      </c>
      <c r="M163">
        <f>IF(C163&lt;&gt;"",C163,M162)</f>
        <v/>
      </c>
      <c r="N163">
        <f>IF(D163&lt;&gt;"",D163,N162)</f>
        <v/>
      </c>
      <c r="O163">
        <f>M163&amp;": "&amp;N163</f>
        <v/>
      </c>
      <c r="P163">
        <f>IF(O163="","",IF(COUNTIF($O$1:O162,O163)=0,MAX($P$1:P162)+1,""))</f>
        <v/>
      </c>
      <c r="Q163">
        <f>IF(A163="","",COUNTIF($A$2:A163,A163))</f>
        <v/>
      </c>
      <c r="R163">
        <f>IF(A163="","",MAX($R$1:R162)+1)</f>
        <v/>
      </c>
    </row>
    <row r="164">
      <c r="A164" s="2" t="n"/>
      <c r="H164" s="3" t="n"/>
      <c r="I164" s="3" t="n"/>
      <c r="J164" s="4">
        <f>IF(AND(H164&lt;&gt;"",I164&lt;&gt;""),(I164-H164)*24,"")</f>
        <v/>
      </c>
      <c r="M164">
        <f>IF(C164&lt;&gt;"",C164,M163)</f>
        <v/>
      </c>
      <c r="N164">
        <f>IF(D164&lt;&gt;"",D164,N163)</f>
        <v/>
      </c>
      <c r="O164">
        <f>M164&amp;": "&amp;N164</f>
        <v/>
      </c>
      <c r="P164">
        <f>IF(O164="","",IF(COUNTIF($O$1:O163,O164)=0,MAX($P$1:P163)+1,""))</f>
        <v/>
      </c>
      <c r="Q164">
        <f>IF(A164="","",COUNTIF($A$2:A164,A164))</f>
        <v/>
      </c>
      <c r="R164">
        <f>IF(A164="","",MAX($R$1:R163)+1)</f>
        <v/>
      </c>
    </row>
    <row r="165">
      <c r="A165" s="2" t="n"/>
      <c r="H165" s="3" t="n"/>
      <c r="I165" s="3" t="n"/>
      <c r="J165" s="4">
        <f>IF(AND(H165&lt;&gt;"",I165&lt;&gt;""),(I165-H165)*24,"")</f>
        <v/>
      </c>
      <c r="M165">
        <f>IF(C165&lt;&gt;"",C165,M164)</f>
        <v/>
      </c>
      <c r="N165">
        <f>IF(D165&lt;&gt;"",D165,N164)</f>
        <v/>
      </c>
      <c r="O165">
        <f>M165&amp;": "&amp;N165</f>
        <v/>
      </c>
      <c r="P165">
        <f>IF(O165="","",IF(COUNTIF($O$1:O164,O165)=0,MAX($P$1:P164)+1,""))</f>
        <v/>
      </c>
      <c r="Q165">
        <f>IF(A165="","",COUNTIF($A$2:A165,A165))</f>
        <v/>
      </c>
      <c r="R165">
        <f>IF(A165="","",MAX($R$1:R164)+1)</f>
        <v/>
      </c>
    </row>
    <row r="166">
      <c r="A166" s="2" t="n"/>
      <c r="H166" s="3" t="n"/>
      <c r="I166" s="3" t="n"/>
      <c r="J166" s="4">
        <f>IF(AND(H166&lt;&gt;"",I166&lt;&gt;""),(I166-H166)*24,"")</f>
        <v/>
      </c>
      <c r="M166">
        <f>IF(C166&lt;&gt;"",C166,M165)</f>
        <v/>
      </c>
      <c r="N166">
        <f>IF(D166&lt;&gt;"",D166,N165)</f>
        <v/>
      </c>
      <c r="O166">
        <f>M166&amp;": "&amp;N166</f>
        <v/>
      </c>
      <c r="P166">
        <f>IF(O166="","",IF(COUNTIF($O$1:O165,O166)=0,MAX($P$1:P165)+1,""))</f>
        <v/>
      </c>
      <c r="Q166">
        <f>IF(A166="","",COUNTIF($A$2:A166,A166))</f>
        <v/>
      </c>
      <c r="R166">
        <f>IF(A166="","",MAX($R$1:R165)+1)</f>
        <v/>
      </c>
    </row>
    <row r="167">
      <c r="A167" s="2" t="n"/>
      <c r="H167" s="3" t="n"/>
      <c r="I167" s="3" t="n"/>
      <c r="J167" s="4">
        <f>IF(AND(H167&lt;&gt;"",I167&lt;&gt;""),(I167-H167)*24,"")</f>
        <v/>
      </c>
      <c r="M167">
        <f>IF(C167&lt;&gt;"",C167,M166)</f>
        <v/>
      </c>
      <c r="N167">
        <f>IF(D167&lt;&gt;"",D167,N166)</f>
        <v/>
      </c>
      <c r="O167">
        <f>M167&amp;": "&amp;N167</f>
        <v/>
      </c>
      <c r="P167">
        <f>IF(O167="","",IF(COUNTIF($O$1:O166,O167)=0,MAX($P$1:P166)+1,""))</f>
        <v/>
      </c>
      <c r="Q167">
        <f>IF(A167="","",COUNTIF($A$2:A167,A167))</f>
        <v/>
      </c>
      <c r="R167">
        <f>IF(A167="","",MAX($R$1:R166)+1)</f>
        <v/>
      </c>
    </row>
    <row r="168">
      <c r="A168" s="2" t="n"/>
      <c r="H168" s="3" t="n"/>
      <c r="I168" s="3" t="n"/>
      <c r="J168" s="4">
        <f>IF(AND(H168&lt;&gt;"",I168&lt;&gt;""),(I168-H168)*24,"")</f>
        <v/>
      </c>
      <c r="M168">
        <f>IF(C168&lt;&gt;"",C168,M167)</f>
        <v/>
      </c>
      <c r="N168">
        <f>IF(D168&lt;&gt;"",D168,N167)</f>
        <v/>
      </c>
      <c r="O168">
        <f>M168&amp;": "&amp;N168</f>
        <v/>
      </c>
      <c r="P168">
        <f>IF(O168="","",IF(COUNTIF($O$1:O167,O168)=0,MAX($P$1:P167)+1,""))</f>
        <v/>
      </c>
      <c r="Q168">
        <f>IF(A168="","",COUNTIF($A$2:A168,A168))</f>
        <v/>
      </c>
      <c r="R168">
        <f>IF(A168="","",MAX($R$1:R167)+1)</f>
        <v/>
      </c>
    </row>
    <row r="169">
      <c r="A169" s="2" t="n"/>
      <c r="H169" s="3" t="n"/>
      <c r="I169" s="3" t="n"/>
      <c r="J169" s="4">
        <f>IF(AND(H169&lt;&gt;"",I169&lt;&gt;""),(I169-H169)*24,"")</f>
        <v/>
      </c>
      <c r="M169">
        <f>IF(C169&lt;&gt;"",C169,M168)</f>
        <v/>
      </c>
      <c r="N169">
        <f>IF(D169&lt;&gt;"",D169,N168)</f>
        <v/>
      </c>
      <c r="O169">
        <f>M169&amp;": "&amp;N169</f>
        <v/>
      </c>
      <c r="P169">
        <f>IF(O169="","",IF(COUNTIF($O$1:O168,O169)=0,MAX($P$1:P168)+1,""))</f>
        <v/>
      </c>
      <c r="Q169">
        <f>IF(A169="","",COUNTIF($A$2:A169,A169))</f>
        <v/>
      </c>
      <c r="R169">
        <f>IF(A169="","",MAX($R$1:R168)+1)</f>
        <v/>
      </c>
    </row>
    <row r="170">
      <c r="A170" s="2" t="n"/>
      <c r="H170" s="3" t="n"/>
      <c r="I170" s="3" t="n"/>
      <c r="J170" s="4">
        <f>IF(AND(H170&lt;&gt;"",I170&lt;&gt;""),(I170-H170)*24,"")</f>
        <v/>
      </c>
      <c r="M170">
        <f>IF(C170&lt;&gt;"",C170,M169)</f>
        <v/>
      </c>
      <c r="N170">
        <f>IF(D170&lt;&gt;"",D170,N169)</f>
        <v/>
      </c>
      <c r="O170">
        <f>M170&amp;": "&amp;N170</f>
        <v/>
      </c>
      <c r="P170">
        <f>IF(O170="","",IF(COUNTIF($O$1:O169,O170)=0,MAX($P$1:P169)+1,""))</f>
        <v/>
      </c>
      <c r="Q170">
        <f>IF(A170="","",COUNTIF($A$2:A170,A170))</f>
        <v/>
      </c>
      <c r="R170">
        <f>IF(A170="","",MAX($R$1:R169)+1)</f>
        <v/>
      </c>
    </row>
    <row r="171">
      <c r="A171" s="2" t="n"/>
      <c r="H171" s="3" t="n"/>
      <c r="I171" s="3" t="n"/>
      <c r="J171" s="4">
        <f>IF(AND(H171&lt;&gt;"",I171&lt;&gt;""),(I171-H171)*24,"")</f>
        <v/>
      </c>
      <c r="M171">
        <f>IF(C171&lt;&gt;"",C171,M170)</f>
        <v/>
      </c>
      <c r="N171">
        <f>IF(D171&lt;&gt;"",D171,N170)</f>
        <v/>
      </c>
      <c r="O171">
        <f>M171&amp;": "&amp;N171</f>
        <v/>
      </c>
      <c r="P171">
        <f>IF(O171="","",IF(COUNTIF($O$1:O170,O171)=0,MAX($P$1:P170)+1,""))</f>
        <v/>
      </c>
      <c r="Q171">
        <f>IF(A171="","",COUNTIF($A$2:A171,A171))</f>
        <v/>
      </c>
      <c r="R171">
        <f>IF(A171="","",MAX($R$1:R170)+1)</f>
        <v/>
      </c>
    </row>
    <row r="172">
      <c r="A172" s="2" t="n"/>
      <c r="H172" s="3" t="n"/>
      <c r="I172" s="3" t="n"/>
      <c r="J172" s="4">
        <f>IF(AND(H172&lt;&gt;"",I172&lt;&gt;""),(I172-H172)*24,"")</f>
        <v/>
      </c>
      <c r="M172">
        <f>IF(C172&lt;&gt;"",C172,M171)</f>
        <v/>
      </c>
      <c r="N172">
        <f>IF(D172&lt;&gt;"",D172,N171)</f>
        <v/>
      </c>
      <c r="O172">
        <f>M172&amp;": "&amp;N172</f>
        <v/>
      </c>
      <c r="P172">
        <f>IF(O172="","",IF(COUNTIF($O$1:O171,O172)=0,MAX($P$1:P171)+1,""))</f>
        <v/>
      </c>
      <c r="Q172">
        <f>IF(A172="","",COUNTIF($A$2:A172,A172))</f>
        <v/>
      </c>
      <c r="R172">
        <f>IF(A172="","",MAX($R$1:R171)+1)</f>
        <v/>
      </c>
    </row>
    <row r="173">
      <c r="A173" s="2" t="n"/>
      <c r="H173" s="3" t="n"/>
      <c r="I173" s="3" t="n"/>
      <c r="J173" s="4">
        <f>IF(AND(H173&lt;&gt;"",I173&lt;&gt;""),(I173-H173)*24,"")</f>
        <v/>
      </c>
      <c r="M173">
        <f>IF(C173&lt;&gt;"",C173,M172)</f>
        <v/>
      </c>
      <c r="N173">
        <f>IF(D173&lt;&gt;"",D173,N172)</f>
        <v/>
      </c>
      <c r="O173">
        <f>M173&amp;": "&amp;N173</f>
        <v/>
      </c>
      <c r="P173">
        <f>IF(O173="","",IF(COUNTIF($O$1:O172,O173)=0,MAX($P$1:P172)+1,""))</f>
        <v/>
      </c>
      <c r="Q173">
        <f>IF(A173="","",COUNTIF($A$2:A173,A173))</f>
        <v/>
      </c>
      <c r="R173">
        <f>IF(A173="","",MAX($R$1:R172)+1)</f>
        <v/>
      </c>
    </row>
    <row r="174">
      <c r="A174" s="2" t="n"/>
      <c r="H174" s="3" t="n"/>
      <c r="I174" s="3" t="n"/>
      <c r="J174" s="4">
        <f>IF(AND(H174&lt;&gt;"",I174&lt;&gt;""),(I174-H174)*24,"")</f>
        <v/>
      </c>
      <c r="M174">
        <f>IF(C174&lt;&gt;"",C174,M173)</f>
        <v/>
      </c>
      <c r="N174">
        <f>IF(D174&lt;&gt;"",D174,N173)</f>
        <v/>
      </c>
      <c r="O174">
        <f>M174&amp;": "&amp;N174</f>
        <v/>
      </c>
      <c r="P174">
        <f>IF(O174="","",IF(COUNTIF($O$1:O173,O174)=0,MAX($P$1:P173)+1,""))</f>
        <v/>
      </c>
      <c r="Q174">
        <f>IF(A174="","",COUNTIF($A$2:A174,A174))</f>
        <v/>
      </c>
      <c r="R174">
        <f>IF(A174="","",MAX($R$1:R173)+1)</f>
        <v/>
      </c>
    </row>
    <row r="175">
      <c r="A175" s="2" t="n"/>
      <c r="H175" s="3" t="n"/>
      <c r="I175" s="3" t="n"/>
      <c r="J175" s="4">
        <f>IF(AND(H175&lt;&gt;"",I175&lt;&gt;""),(I175-H175)*24,"")</f>
        <v/>
      </c>
      <c r="M175">
        <f>IF(C175&lt;&gt;"",C175,M174)</f>
        <v/>
      </c>
      <c r="N175">
        <f>IF(D175&lt;&gt;"",D175,N174)</f>
        <v/>
      </c>
      <c r="O175">
        <f>M175&amp;": "&amp;N175</f>
        <v/>
      </c>
      <c r="P175">
        <f>IF(O175="","",IF(COUNTIF($O$1:O174,O175)=0,MAX($P$1:P174)+1,""))</f>
        <v/>
      </c>
      <c r="Q175">
        <f>IF(A175="","",COUNTIF($A$2:A175,A175))</f>
        <v/>
      </c>
      <c r="R175">
        <f>IF(A175="","",MAX($R$1:R174)+1)</f>
        <v/>
      </c>
    </row>
    <row r="176">
      <c r="A176" s="2" t="n"/>
      <c r="H176" s="3" t="n"/>
      <c r="I176" s="3" t="n"/>
      <c r="J176" s="4">
        <f>IF(AND(H176&lt;&gt;"",I176&lt;&gt;""),(I176-H176)*24,"")</f>
        <v/>
      </c>
      <c r="M176">
        <f>IF(C176&lt;&gt;"",C176,M175)</f>
        <v/>
      </c>
      <c r="N176">
        <f>IF(D176&lt;&gt;"",D176,N175)</f>
        <v/>
      </c>
      <c r="O176">
        <f>M176&amp;": "&amp;N176</f>
        <v/>
      </c>
      <c r="P176">
        <f>IF(O176="","",IF(COUNTIF($O$1:O175,O176)=0,MAX($P$1:P175)+1,""))</f>
        <v/>
      </c>
      <c r="Q176">
        <f>IF(A176="","",COUNTIF($A$2:A176,A176))</f>
        <v/>
      </c>
      <c r="R176">
        <f>IF(A176="","",MAX($R$1:R175)+1)</f>
        <v/>
      </c>
    </row>
    <row r="177">
      <c r="A177" s="2" t="n"/>
      <c r="H177" s="3" t="n"/>
      <c r="I177" s="3" t="n"/>
      <c r="J177" s="4">
        <f>IF(AND(H177&lt;&gt;"",I177&lt;&gt;""),(I177-H177)*24,"")</f>
        <v/>
      </c>
      <c r="M177">
        <f>IF(C177&lt;&gt;"",C177,M176)</f>
        <v/>
      </c>
      <c r="N177">
        <f>IF(D177&lt;&gt;"",D177,N176)</f>
        <v/>
      </c>
      <c r="O177">
        <f>M177&amp;": "&amp;N177</f>
        <v/>
      </c>
      <c r="P177">
        <f>IF(O177="","",IF(COUNTIF($O$1:O176,O177)=0,MAX($P$1:P176)+1,""))</f>
        <v/>
      </c>
      <c r="Q177">
        <f>IF(A177="","",COUNTIF($A$2:A177,A177))</f>
        <v/>
      </c>
      <c r="R177">
        <f>IF(A177="","",MAX($R$1:R176)+1)</f>
        <v/>
      </c>
    </row>
    <row r="178">
      <c r="A178" s="2" t="n"/>
      <c r="H178" s="3" t="n"/>
      <c r="I178" s="3" t="n"/>
      <c r="J178" s="4">
        <f>IF(AND(H178&lt;&gt;"",I178&lt;&gt;""),(I178-H178)*24,"")</f>
        <v/>
      </c>
      <c r="M178">
        <f>IF(C178&lt;&gt;"",C178,M177)</f>
        <v/>
      </c>
      <c r="N178">
        <f>IF(D178&lt;&gt;"",D178,N177)</f>
        <v/>
      </c>
      <c r="O178">
        <f>M178&amp;": "&amp;N178</f>
        <v/>
      </c>
      <c r="P178">
        <f>IF(O178="","",IF(COUNTIF($O$1:O177,O178)=0,MAX($P$1:P177)+1,""))</f>
        <v/>
      </c>
      <c r="Q178">
        <f>IF(A178="","",COUNTIF($A$2:A178,A178))</f>
        <v/>
      </c>
      <c r="R178">
        <f>IF(A178="","",MAX($R$1:R177)+1)</f>
        <v/>
      </c>
    </row>
    <row r="179">
      <c r="A179" s="2" t="n"/>
      <c r="H179" s="3" t="n"/>
      <c r="I179" s="3" t="n"/>
      <c r="J179" s="4">
        <f>IF(AND(H179&lt;&gt;"",I179&lt;&gt;""),(I179-H179)*24,"")</f>
        <v/>
      </c>
      <c r="M179">
        <f>IF(C179&lt;&gt;"",C179,M178)</f>
        <v/>
      </c>
      <c r="N179">
        <f>IF(D179&lt;&gt;"",D179,N178)</f>
        <v/>
      </c>
      <c r="O179">
        <f>M179&amp;": "&amp;N179</f>
        <v/>
      </c>
      <c r="P179">
        <f>IF(O179="","",IF(COUNTIF($O$1:O178,O179)=0,MAX($P$1:P178)+1,""))</f>
        <v/>
      </c>
      <c r="Q179">
        <f>IF(A179="","",COUNTIF($A$2:A179,A179))</f>
        <v/>
      </c>
      <c r="R179">
        <f>IF(A179="","",MAX($R$1:R178)+1)</f>
        <v/>
      </c>
    </row>
    <row r="180">
      <c r="A180" s="2" t="n"/>
      <c r="H180" s="3" t="n"/>
      <c r="I180" s="3" t="n"/>
      <c r="J180" s="4">
        <f>IF(AND(H180&lt;&gt;"",I180&lt;&gt;""),(I180-H180)*24,"")</f>
        <v/>
      </c>
      <c r="M180">
        <f>IF(C180&lt;&gt;"",C180,M179)</f>
        <v/>
      </c>
      <c r="N180">
        <f>IF(D180&lt;&gt;"",D180,N179)</f>
        <v/>
      </c>
      <c r="O180">
        <f>M180&amp;": "&amp;N180</f>
        <v/>
      </c>
      <c r="P180">
        <f>IF(O180="","",IF(COUNTIF($O$1:O179,O180)=0,MAX($P$1:P179)+1,""))</f>
        <v/>
      </c>
      <c r="Q180">
        <f>IF(A180="","",COUNTIF($A$2:A180,A180))</f>
        <v/>
      </c>
      <c r="R180">
        <f>IF(A180="","",MAX($R$1:R179)+1)</f>
        <v/>
      </c>
    </row>
    <row r="181">
      <c r="A181" s="2" t="n"/>
      <c r="H181" s="3" t="n"/>
      <c r="I181" s="3" t="n"/>
      <c r="J181" s="4">
        <f>IF(AND(H181&lt;&gt;"",I181&lt;&gt;""),(I181-H181)*24,"")</f>
        <v/>
      </c>
      <c r="M181">
        <f>IF(C181&lt;&gt;"",C181,M180)</f>
        <v/>
      </c>
      <c r="N181">
        <f>IF(D181&lt;&gt;"",D181,N180)</f>
        <v/>
      </c>
      <c r="O181">
        <f>M181&amp;": "&amp;N181</f>
        <v/>
      </c>
      <c r="P181">
        <f>IF(O181="","",IF(COUNTIF($O$1:O180,O181)=0,MAX($P$1:P180)+1,""))</f>
        <v/>
      </c>
      <c r="Q181">
        <f>IF(A181="","",COUNTIF($A$2:A181,A181))</f>
        <v/>
      </c>
      <c r="R181">
        <f>IF(A181="","",MAX($R$1:R180)+1)</f>
        <v/>
      </c>
    </row>
    <row r="182">
      <c r="A182" s="2" t="n"/>
      <c r="H182" s="3" t="n"/>
      <c r="I182" s="3" t="n"/>
      <c r="J182" s="4">
        <f>IF(AND(H182&lt;&gt;"",I182&lt;&gt;""),(I182-H182)*24,"")</f>
        <v/>
      </c>
      <c r="M182">
        <f>IF(C182&lt;&gt;"",C182,M181)</f>
        <v/>
      </c>
      <c r="N182">
        <f>IF(D182&lt;&gt;"",D182,N181)</f>
        <v/>
      </c>
      <c r="O182">
        <f>M182&amp;": "&amp;N182</f>
        <v/>
      </c>
      <c r="P182">
        <f>IF(O182="","",IF(COUNTIF($O$1:O181,O182)=0,MAX($P$1:P181)+1,""))</f>
        <v/>
      </c>
      <c r="Q182">
        <f>IF(A182="","",COUNTIF($A$2:A182,A182))</f>
        <v/>
      </c>
      <c r="R182">
        <f>IF(A182="","",MAX($R$1:R181)+1)</f>
        <v/>
      </c>
    </row>
    <row r="183">
      <c r="A183" s="2" t="n"/>
      <c r="H183" s="3" t="n"/>
      <c r="I183" s="3" t="n"/>
      <c r="J183" s="4">
        <f>IF(AND(H183&lt;&gt;"",I183&lt;&gt;""),(I183-H183)*24,"")</f>
        <v/>
      </c>
      <c r="M183">
        <f>IF(C183&lt;&gt;"",C183,M182)</f>
        <v/>
      </c>
      <c r="N183">
        <f>IF(D183&lt;&gt;"",D183,N182)</f>
        <v/>
      </c>
      <c r="O183">
        <f>M183&amp;": "&amp;N183</f>
        <v/>
      </c>
      <c r="P183">
        <f>IF(O183="","",IF(COUNTIF($O$1:O182,O183)=0,MAX($P$1:P182)+1,""))</f>
        <v/>
      </c>
      <c r="Q183">
        <f>IF(A183="","",COUNTIF($A$2:A183,A183))</f>
        <v/>
      </c>
      <c r="R183">
        <f>IF(A183="","",MAX($R$1:R182)+1)</f>
        <v/>
      </c>
    </row>
    <row r="184">
      <c r="A184" s="2" t="n"/>
      <c r="H184" s="3" t="n"/>
      <c r="I184" s="3" t="n"/>
      <c r="J184" s="4">
        <f>IF(AND(H184&lt;&gt;"",I184&lt;&gt;""),(I184-H184)*24,"")</f>
        <v/>
      </c>
      <c r="M184">
        <f>IF(C184&lt;&gt;"",C184,M183)</f>
        <v/>
      </c>
      <c r="N184">
        <f>IF(D184&lt;&gt;"",D184,N183)</f>
        <v/>
      </c>
      <c r="O184">
        <f>M184&amp;": "&amp;N184</f>
        <v/>
      </c>
      <c r="P184">
        <f>IF(O184="","",IF(COUNTIF($O$1:O183,O184)=0,MAX($P$1:P183)+1,""))</f>
        <v/>
      </c>
      <c r="Q184">
        <f>IF(A184="","",COUNTIF($A$2:A184,A184))</f>
        <v/>
      </c>
      <c r="R184">
        <f>IF(A184="","",MAX($R$1:R183)+1)</f>
        <v/>
      </c>
    </row>
    <row r="185">
      <c r="A185" s="2" t="n"/>
      <c r="H185" s="3" t="n"/>
      <c r="I185" s="3" t="n"/>
      <c r="J185" s="4">
        <f>IF(AND(H185&lt;&gt;"",I185&lt;&gt;""),(I185-H185)*24,"")</f>
        <v/>
      </c>
      <c r="M185">
        <f>IF(C185&lt;&gt;"",C185,M184)</f>
        <v/>
      </c>
      <c r="N185">
        <f>IF(D185&lt;&gt;"",D185,N184)</f>
        <v/>
      </c>
      <c r="O185">
        <f>M185&amp;": "&amp;N185</f>
        <v/>
      </c>
      <c r="P185">
        <f>IF(O185="","",IF(COUNTIF($O$1:O184,O185)=0,MAX($P$1:P184)+1,""))</f>
        <v/>
      </c>
      <c r="Q185">
        <f>IF(A185="","",COUNTIF($A$2:A185,A185))</f>
        <v/>
      </c>
      <c r="R185">
        <f>IF(A185="","",MAX($R$1:R184)+1)</f>
        <v/>
      </c>
    </row>
    <row r="186">
      <c r="A186" s="2" t="n"/>
      <c r="H186" s="3" t="n"/>
      <c r="I186" s="3" t="n"/>
      <c r="J186" s="4">
        <f>IF(AND(H186&lt;&gt;"",I186&lt;&gt;""),(I186-H186)*24,"")</f>
        <v/>
      </c>
      <c r="M186">
        <f>IF(C186&lt;&gt;"",C186,M185)</f>
        <v/>
      </c>
      <c r="N186">
        <f>IF(D186&lt;&gt;"",D186,N185)</f>
        <v/>
      </c>
      <c r="O186">
        <f>M186&amp;": "&amp;N186</f>
        <v/>
      </c>
      <c r="P186">
        <f>IF(O186="","",IF(COUNTIF($O$1:O185,O186)=0,MAX($P$1:P185)+1,""))</f>
        <v/>
      </c>
      <c r="Q186">
        <f>IF(A186="","",COUNTIF($A$2:A186,A186))</f>
        <v/>
      </c>
      <c r="R186">
        <f>IF(A186="","",MAX($R$1:R185)+1)</f>
        <v/>
      </c>
    </row>
    <row r="187">
      <c r="A187" s="2" t="n"/>
      <c r="H187" s="3" t="n"/>
      <c r="I187" s="3" t="n"/>
      <c r="J187" s="4">
        <f>IF(AND(H187&lt;&gt;"",I187&lt;&gt;""),(I187-H187)*24,"")</f>
        <v/>
      </c>
      <c r="M187">
        <f>IF(C187&lt;&gt;"",C187,M186)</f>
        <v/>
      </c>
      <c r="N187">
        <f>IF(D187&lt;&gt;"",D187,N186)</f>
        <v/>
      </c>
      <c r="O187">
        <f>M187&amp;": "&amp;N187</f>
        <v/>
      </c>
      <c r="P187">
        <f>IF(O187="","",IF(COUNTIF($O$1:O186,O187)=0,MAX($P$1:P186)+1,""))</f>
        <v/>
      </c>
      <c r="Q187">
        <f>IF(A187="","",COUNTIF($A$2:A187,A187))</f>
        <v/>
      </c>
      <c r="R187">
        <f>IF(A187="","",MAX($R$1:R186)+1)</f>
        <v/>
      </c>
    </row>
    <row r="188">
      <c r="A188" s="2" t="n"/>
      <c r="H188" s="3" t="n"/>
      <c r="I188" s="3" t="n"/>
      <c r="J188" s="4">
        <f>IF(AND(H188&lt;&gt;"",I188&lt;&gt;""),(I188-H188)*24,"")</f>
        <v/>
      </c>
      <c r="M188">
        <f>IF(C188&lt;&gt;"",C188,M187)</f>
        <v/>
      </c>
      <c r="N188">
        <f>IF(D188&lt;&gt;"",D188,N187)</f>
        <v/>
      </c>
      <c r="O188">
        <f>M188&amp;": "&amp;N188</f>
        <v/>
      </c>
      <c r="P188">
        <f>IF(O188="","",IF(COUNTIF($O$1:O187,O188)=0,MAX($P$1:P187)+1,""))</f>
        <v/>
      </c>
      <c r="Q188">
        <f>IF(A188="","",COUNTIF($A$2:A188,A188))</f>
        <v/>
      </c>
      <c r="R188">
        <f>IF(A188="","",MAX($R$1:R187)+1)</f>
        <v/>
      </c>
    </row>
    <row r="189">
      <c r="A189" s="2" t="n"/>
      <c r="H189" s="3" t="n"/>
      <c r="I189" s="3" t="n"/>
      <c r="J189" s="4">
        <f>IF(AND(H189&lt;&gt;"",I189&lt;&gt;""),(I189-H189)*24,"")</f>
        <v/>
      </c>
      <c r="M189">
        <f>IF(C189&lt;&gt;"",C189,M188)</f>
        <v/>
      </c>
      <c r="N189">
        <f>IF(D189&lt;&gt;"",D189,N188)</f>
        <v/>
      </c>
      <c r="O189">
        <f>M189&amp;": "&amp;N189</f>
        <v/>
      </c>
      <c r="P189">
        <f>IF(O189="","",IF(COUNTIF($O$1:O188,O189)=0,MAX($P$1:P188)+1,""))</f>
        <v/>
      </c>
      <c r="Q189">
        <f>IF(A189="","",COUNTIF($A$2:A189,A189))</f>
        <v/>
      </c>
      <c r="R189">
        <f>IF(A189="","",MAX($R$1:R188)+1)</f>
        <v/>
      </c>
    </row>
    <row r="190">
      <c r="A190" s="2" t="n"/>
      <c r="H190" s="3" t="n"/>
      <c r="I190" s="3" t="n"/>
      <c r="J190" s="4">
        <f>IF(AND(H190&lt;&gt;"",I190&lt;&gt;""),(I190-H190)*24,"")</f>
        <v/>
      </c>
      <c r="M190">
        <f>IF(C190&lt;&gt;"",C190,M189)</f>
        <v/>
      </c>
      <c r="N190">
        <f>IF(D190&lt;&gt;"",D190,N189)</f>
        <v/>
      </c>
      <c r="O190">
        <f>M190&amp;": "&amp;N190</f>
        <v/>
      </c>
      <c r="P190">
        <f>IF(O190="","",IF(COUNTIF($O$1:O189,O190)=0,MAX($P$1:P189)+1,""))</f>
        <v/>
      </c>
      <c r="Q190">
        <f>IF(A190="","",COUNTIF($A$2:A190,A190))</f>
        <v/>
      </c>
      <c r="R190">
        <f>IF(A190="","",MAX($R$1:R189)+1)</f>
        <v/>
      </c>
    </row>
    <row r="191">
      <c r="A191" s="2" t="n"/>
      <c r="H191" s="3" t="n"/>
      <c r="I191" s="3" t="n"/>
      <c r="J191" s="4">
        <f>IF(AND(H191&lt;&gt;"",I191&lt;&gt;""),(I191-H191)*24,"")</f>
        <v/>
      </c>
      <c r="M191">
        <f>IF(C191&lt;&gt;"",C191,M190)</f>
        <v/>
      </c>
      <c r="N191">
        <f>IF(D191&lt;&gt;"",D191,N190)</f>
        <v/>
      </c>
      <c r="O191">
        <f>M191&amp;": "&amp;N191</f>
        <v/>
      </c>
      <c r="P191">
        <f>IF(O191="","",IF(COUNTIF($O$1:O190,O191)=0,MAX($P$1:P190)+1,""))</f>
        <v/>
      </c>
      <c r="Q191">
        <f>IF(A191="","",COUNTIF($A$2:A191,A191))</f>
        <v/>
      </c>
      <c r="R191">
        <f>IF(A191="","",MAX($R$1:R190)+1)</f>
        <v/>
      </c>
    </row>
    <row r="192">
      <c r="A192" s="2" t="n"/>
      <c r="H192" s="3" t="n"/>
      <c r="I192" s="3" t="n"/>
      <c r="J192" s="4">
        <f>IF(AND(H192&lt;&gt;"",I192&lt;&gt;""),(I192-H192)*24,"")</f>
        <v/>
      </c>
      <c r="M192">
        <f>IF(C192&lt;&gt;"",C192,M191)</f>
        <v/>
      </c>
      <c r="N192">
        <f>IF(D192&lt;&gt;"",D192,N191)</f>
        <v/>
      </c>
      <c r="O192">
        <f>M192&amp;": "&amp;N192</f>
        <v/>
      </c>
      <c r="P192">
        <f>IF(O192="","",IF(COUNTIF($O$1:O191,O192)=0,MAX($P$1:P191)+1,""))</f>
        <v/>
      </c>
      <c r="Q192">
        <f>IF(A192="","",COUNTIF($A$2:A192,A192))</f>
        <v/>
      </c>
      <c r="R192">
        <f>IF(A192="","",MAX($R$1:R191)+1)</f>
        <v/>
      </c>
    </row>
    <row r="193">
      <c r="A193" s="2" t="n"/>
      <c r="H193" s="3" t="n"/>
      <c r="I193" s="3" t="n"/>
      <c r="J193" s="4">
        <f>IF(AND(H193&lt;&gt;"",I193&lt;&gt;""),(I193-H193)*24,"")</f>
        <v/>
      </c>
      <c r="M193">
        <f>IF(C193&lt;&gt;"",C193,M192)</f>
        <v/>
      </c>
      <c r="N193">
        <f>IF(D193&lt;&gt;"",D193,N192)</f>
        <v/>
      </c>
      <c r="O193">
        <f>M193&amp;": "&amp;N193</f>
        <v/>
      </c>
      <c r="P193">
        <f>IF(O193="","",IF(COUNTIF($O$1:O192,O193)=0,MAX($P$1:P192)+1,""))</f>
        <v/>
      </c>
      <c r="Q193">
        <f>IF(A193="","",COUNTIF($A$2:A193,A193))</f>
        <v/>
      </c>
      <c r="R193">
        <f>IF(A193="","",MAX($R$1:R192)+1)</f>
        <v/>
      </c>
    </row>
    <row r="194">
      <c r="A194" s="2" t="n"/>
      <c r="H194" s="3" t="n"/>
      <c r="I194" s="3" t="n"/>
      <c r="J194" s="4">
        <f>IF(AND(H194&lt;&gt;"",I194&lt;&gt;""),(I194-H194)*24,"")</f>
        <v/>
      </c>
      <c r="M194">
        <f>IF(C194&lt;&gt;"",C194,M193)</f>
        <v/>
      </c>
      <c r="N194">
        <f>IF(D194&lt;&gt;"",D194,N193)</f>
        <v/>
      </c>
      <c r="O194">
        <f>M194&amp;": "&amp;N194</f>
        <v/>
      </c>
      <c r="P194">
        <f>IF(O194="","",IF(COUNTIF($O$1:O193,O194)=0,MAX($P$1:P193)+1,""))</f>
        <v/>
      </c>
      <c r="Q194">
        <f>IF(A194="","",COUNTIF($A$2:A194,A194))</f>
        <v/>
      </c>
      <c r="R194">
        <f>IF(A194="","",MAX($R$1:R193)+1)</f>
        <v/>
      </c>
    </row>
    <row r="195">
      <c r="A195" s="2" t="n"/>
      <c r="H195" s="3" t="n"/>
      <c r="I195" s="3" t="n"/>
      <c r="J195" s="4">
        <f>IF(AND(H195&lt;&gt;"",I195&lt;&gt;""),(I195-H195)*24,"")</f>
        <v/>
      </c>
      <c r="M195">
        <f>IF(C195&lt;&gt;"",C195,M194)</f>
        <v/>
      </c>
      <c r="N195">
        <f>IF(D195&lt;&gt;"",D195,N194)</f>
        <v/>
      </c>
      <c r="O195">
        <f>M195&amp;": "&amp;N195</f>
        <v/>
      </c>
      <c r="P195">
        <f>IF(O195="","",IF(COUNTIF($O$1:O194,O195)=0,MAX($P$1:P194)+1,""))</f>
        <v/>
      </c>
      <c r="Q195">
        <f>IF(A195="","",COUNTIF($A$2:A195,A195))</f>
        <v/>
      </c>
      <c r="R195">
        <f>IF(A195="","",MAX($R$1:R194)+1)</f>
        <v/>
      </c>
    </row>
    <row r="196">
      <c r="A196" s="2" t="n"/>
      <c r="H196" s="3" t="n"/>
      <c r="I196" s="3" t="n"/>
      <c r="J196" s="4">
        <f>IF(AND(H196&lt;&gt;"",I196&lt;&gt;""),(I196-H196)*24,"")</f>
        <v/>
      </c>
      <c r="M196">
        <f>IF(C196&lt;&gt;"",C196,M195)</f>
        <v/>
      </c>
      <c r="N196">
        <f>IF(D196&lt;&gt;"",D196,N195)</f>
        <v/>
      </c>
      <c r="O196">
        <f>M196&amp;": "&amp;N196</f>
        <v/>
      </c>
      <c r="P196">
        <f>IF(O196="","",IF(COUNTIF($O$1:O195,O196)=0,MAX($P$1:P195)+1,""))</f>
        <v/>
      </c>
      <c r="Q196">
        <f>IF(A196="","",COUNTIF($A$2:A196,A196))</f>
        <v/>
      </c>
      <c r="R196">
        <f>IF(A196="","",MAX($R$1:R195)+1)</f>
        <v/>
      </c>
    </row>
    <row r="197">
      <c r="A197" s="2" t="n"/>
      <c r="H197" s="3" t="n"/>
      <c r="I197" s="3" t="n"/>
      <c r="J197" s="4">
        <f>IF(AND(H197&lt;&gt;"",I197&lt;&gt;""),(I197-H197)*24,"")</f>
        <v/>
      </c>
      <c r="M197">
        <f>IF(C197&lt;&gt;"",C197,M196)</f>
        <v/>
      </c>
      <c r="N197">
        <f>IF(D197&lt;&gt;"",D197,N196)</f>
        <v/>
      </c>
      <c r="O197">
        <f>M197&amp;": "&amp;N197</f>
        <v/>
      </c>
      <c r="P197">
        <f>IF(O197="","",IF(COUNTIF($O$1:O196,O197)=0,MAX($P$1:P196)+1,""))</f>
        <v/>
      </c>
      <c r="Q197">
        <f>IF(A197="","",COUNTIF($A$2:A197,A197))</f>
        <v/>
      </c>
      <c r="R197">
        <f>IF(A197="","",MAX($R$1:R196)+1)</f>
        <v/>
      </c>
    </row>
    <row r="198">
      <c r="A198" s="2" t="n"/>
      <c r="H198" s="3" t="n"/>
      <c r="I198" s="3" t="n"/>
      <c r="J198" s="4">
        <f>IF(AND(H198&lt;&gt;"",I198&lt;&gt;""),(I198-H198)*24,"")</f>
        <v/>
      </c>
      <c r="M198">
        <f>IF(C198&lt;&gt;"",C198,M197)</f>
        <v/>
      </c>
      <c r="N198">
        <f>IF(D198&lt;&gt;"",D198,N197)</f>
        <v/>
      </c>
      <c r="O198">
        <f>M198&amp;": "&amp;N198</f>
        <v/>
      </c>
      <c r="P198">
        <f>IF(O198="","",IF(COUNTIF($O$1:O197,O198)=0,MAX($P$1:P197)+1,""))</f>
        <v/>
      </c>
      <c r="Q198">
        <f>IF(A198="","",COUNTIF($A$2:A198,A198))</f>
        <v/>
      </c>
      <c r="R198">
        <f>IF(A198="","",MAX($R$1:R197)+1)</f>
        <v/>
      </c>
    </row>
    <row r="199">
      <c r="A199" s="2" t="n"/>
      <c r="H199" s="3" t="n"/>
      <c r="I199" s="3" t="n"/>
      <c r="J199" s="4">
        <f>IF(AND(H199&lt;&gt;"",I199&lt;&gt;""),(I199-H199)*24,"")</f>
        <v/>
      </c>
      <c r="M199">
        <f>IF(C199&lt;&gt;"",C199,M198)</f>
        <v/>
      </c>
      <c r="N199">
        <f>IF(D199&lt;&gt;"",D199,N198)</f>
        <v/>
      </c>
      <c r="O199">
        <f>M199&amp;": "&amp;N199</f>
        <v/>
      </c>
      <c r="P199">
        <f>IF(O199="","",IF(COUNTIF($O$1:O198,O199)=0,MAX($P$1:P198)+1,""))</f>
        <v/>
      </c>
      <c r="Q199">
        <f>IF(A199="","",COUNTIF($A$2:A199,A199))</f>
        <v/>
      </c>
      <c r="R199">
        <f>IF(A199="","",MAX($R$1:R198)+1)</f>
        <v/>
      </c>
    </row>
    <row r="200">
      <c r="A200" s="2" t="n"/>
      <c r="H200" s="3" t="n"/>
      <c r="I200" s="3" t="n"/>
      <c r="J200" s="4">
        <f>IF(AND(H200&lt;&gt;"",I200&lt;&gt;""),(I200-H200)*24,"")</f>
        <v/>
      </c>
      <c r="M200">
        <f>IF(C200&lt;&gt;"",C200,M199)</f>
        <v/>
      </c>
      <c r="N200">
        <f>IF(D200&lt;&gt;"",D200,N199)</f>
        <v/>
      </c>
      <c r="O200">
        <f>M200&amp;": "&amp;N200</f>
        <v/>
      </c>
      <c r="P200">
        <f>IF(O200="","",IF(COUNTIF($O$1:O199,O200)=0,MAX($P$1:P199)+1,""))</f>
        <v/>
      </c>
      <c r="Q200">
        <f>IF(A200="","",COUNTIF($A$2:A200,A200))</f>
        <v/>
      </c>
      <c r="R200">
        <f>IF(A200="","",MAX($R$1:R199)+1)</f>
        <v/>
      </c>
    </row>
    <row r="201">
      <c r="A201" s="2" t="n"/>
      <c r="H201" s="3" t="n"/>
      <c r="I201" s="3" t="n"/>
      <c r="J201" s="4">
        <f>IF(AND(H201&lt;&gt;"",I201&lt;&gt;""),(I201-H201)*24,"")</f>
        <v/>
      </c>
      <c r="M201">
        <f>IF(C201&lt;&gt;"",C201,M200)</f>
        <v/>
      </c>
      <c r="N201">
        <f>IF(D201&lt;&gt;"",D201,N200)</f>
        <v/>
      </c>
      <c r="O201">
        <f>M201&amp;": "&amp;N201</f>
        <v/>
      </c>
      <c r="P201">
        <f>IF(O201="","",IF(COUNTIF($O$1:O200,O201)=0,MAX($P$1:P200)+1,""))</f>
        <v/>
      </c>
      <c r="Q201">
        <f>IF(A201="","",COUNTIF($A$2:A201,A201))</f>
        <v/>
      </c>
      <c r="R201">
        <f>IF(A201="","",MAX($R$1:R200)+1)</f>
        <v/>
      </c>
    </row>
    <row r="202">
      <c r="A202" s="2" t="n"/>
      <c r="H202" s="3" t="n"/>
      <c r="I202" s="3" t="n"/>
      <c r="J202" s="4">
        <f>IF(AND(H202&lt;&gt;"",I202&lt;&gt;""),(I202-H202)*24,"")</f>
        <v/>
      </c>
      <c r="M202">
        <f>IF(C202&lt;&gt;"",C202,M201)</f>
        <v/>
      </c>
      <c r="N202">
        <f>IF(D202&lt;&gt;"",D202,N201)</f>
        <v/>
      </c>
      <c r="O202">
        <f>M202&amp;": "&amp;N202</f>
        <v/>
      </c>
      <c r="P202">
        <f>IF(O202="","",IF(COUNTIF($O$1:O201,O202)=0,MAX($P$1:P201)+1,""))</f>
        <v/>
      </c>
      <c r="Q202">
        <f>IF(A202="","",COUNTIF($A$2:A202,A202))</f>
        <v/>
      </c>
      <c r="R202">
        <f>IF(A202="","",MAX($R$1:R201)+1)</f>
        <v/>
      </c>
    </row>
    <row r="203">
      <c r="A203" s="2" t="n"/>
      <c r="H203" s="3" t="n"/>
      <c r="I203" s="3" t="n"/>
      <c r="J203" s="4">
        <f>IF(AND(H203&lt;&gt;"",I203&lt;&gt;""),(I203-H203)*24,"")</f>
        <v/>
      </c>
      <c r="M203">
        <f>IF(C203&lt;&gt;"",C203,M202)</f>
        <v/>
      </c>
      <c r="N203">
        <f>IF(D203&lt;&gt;"",D203,N202)</f>
        <v/>
      </c>
      <c r="O203">
        <f>M203&amp;": "&amp;N203</f>
        <v/>
      </c>
      <c r="P203">
        <f>IF(O203="","",IF(COUNTIF($O$1:O202,O203)=0,MAX($P$1:P202)+1,""))</f>
        <v/>
      </c>
      <c r="Q203">
        <f>IF(A203="","",COUNTIF($A$2:A203,A203))</f>
        <v/>
      </c>
      <c r="R203">
        <f>IF(A203="","",MAX($R$1:R202)+1)</f>
        <v/>
      </c>
    </row>
    <row r="204">
      <c r="A204" s="2" t="n"/>
      <c r="H204" s="3" t="n"/>
      <c r="I204" s="3" t="n"/>
      <c r="J204" s="4">
        <f>IF(AND(H204&lt;&gt;"",I204&lt;&gt;""),(I204-H204)*24,"")</f>
        <v/>
      </c>
      <c r="M204">
        <f>IF(C204&lt;&gt;"",C204,M203)</f>
        <v/>
      </c>
      <c r="N204">
        <f>IF(D204&lt;&gt;"",D204,N203)</f>
        <v/>
      </c>
      <c r="O204">
        <f>M204&amp;": "&amp;N204</f>
        <v/>
      </c>
      <c r="P204">
        <f>IF(O204="","",IF(COUNTIF($O$1:O203,O204)=0,MAX($P$1:P203)+1,""))</f>
        <v/>
      </c>
      <c r="Q204">
        <f>IF(A204="","",COUNTIF($A$2:A204,A204))</f>
        <v/>
      </c>
      <c r="R204">
        <f>IF(A204="","",MAX($R$1:R203)+1)</f>
        <v/>
      </c>
    </row>
    <row r="205">
      <c r="A205" s="2" t="n"/>
      <c r="H205" s="3" t="n"/>
      <c r="I205" s="3" t="n"/>
      <c r="J205" s="4">
        <f>IF(AND(H205&lt;&gt;"",I205&lt;&gt;""),(I205-H205)*24,"")</f>
        <v/>
      </c>
      <c r="M205">
        <f>IF(C205&lt;&gt;"",C205,M204)</f>
        <v/>
      </c>
      <c r="N205">
        <f>IF(D205&lt;&gt;"",D205,N204)</f>
        <v/>
      </c>
      <c r="O205">
        <f>M205&amp;": "&amp;N205</f>
        <v/>
      </c>
      <c r="P205">
        <f>IF(O205="","",IF(COUNTIF($O$1:O204,O205)=0,MAX($P$1:P204)+1,""))</f>
        <v/>
      </c>
      <c r="Q205">
        <f>IF(A205="","",COUNTIF($A$2:A205,A205))</f>
        <v/>
      </c>
      <c r="R205">
        <f>IF(A205="","",MAX($R$1:R204)+1)</f>
        <v/>
      </c>
    </row>
    <row r="206">
      <c r="A206" s="2" t="n"/>
      <c r="H206" s="3" t="n"/>
      <c r="I206" s="3" t="n"/>
      <c r="J206" s="4">
        <f>IF(AND(H206&lt;&gt;"",I206&lt;&gt;""),(I206-H206)*24,"")</f>
        <v/>
      </c>
      <c r="M206">
        <f>IF(C206&lt;&gt;"",C206,M205)</f>
        <v/>
      </c>
      <c r="N206">
        <f>IF(D206&lt;&gt;"",D206,N205)</f>
        <v/>
      </c>
      <c r="O206">
        <f>M206&amp;": "&amp;N206</f>
        <v/>
      </c>
      <c r="P206">
        <f>IF(O206="","",IF(COUNTIF($O$1:O205,O206)=0,MAX($P$1:P205)+1,""))</f>
        <v/>
      </c>
      <c r="Q206">
        <f>IF(A206="","",COUNTIF($A$2:A206,A206))</f>
        <v/>
      </c>
      <c r="R206">
        <f>IF(A206="","",MAX($R$1:R205)+1)</f>
        <v/>
      </c>
    </row>
    <row r="207">
      <c r="A207" s="2" t="n"/>
      <c r="H207" s="3" t="n"/>
      <c r="I207" s="3" t="n"/>
      <c r="J207" s="4">
        <f>IF(AND(H207&lt;&gt;"",I207&lt;&gt;""),(I207-H207)*24,"")</f>
        <v/>
      </c>
      <c r="M207">
        <f>IF(C207&lt;&gt;"",C207,M206)</f>
        <v/>
      </c>
      <c r="N207">
        <f>IF(D207&lt;&gt;"",D207,N206)</f>
        <v/>
      </c>
      <c r="O207">
        <f>M207&amp;": "&amp;N207</f>
        <v/>
      </c>
      <c r="P207">
        <f>IF(O207="","",IF(COUNTIF($O$1:O206,O207)=0,MAX($P$1:P206)+1,""))</f>
        <v/>
      </c>
      <c r="Q207">
        <f>IF(A207="","",COUNTIF($A$2:A207,A207))</f>
        <v/>
      </c>
      <c r="R207">
        <f>IF(A207="","",MAX($R$1:R206)+1)</f>
        <v/>
      </c>
    </row>
    <row r="208">
      <c r="A208" s="2" t="n"/>
      <c r="H208" s="3" t="n"/>
      <c r="I208" s="3" t="n"/>
      <c r="J208" s="4">
        <f>IF(AND(H208&lt;&gt;"",I208&lt;&gt;""),(I208-H208)*24,"")</f>
        <v/>
      </c>
      <c r="M208">
        <f>IF(C208&lt;&gt;"",C208,M207)</f>
        <v/>
      </c>
      <c r="N208">
        <f>IF(D208&lt;&gt;"",D208,N207)</f>
        <v/>
      </c>
      <c r="O208">
        <f>M208&amp;": "&amp;N208</f>
        <v/>
      </c>
      <c r="P208">
        <f>IF(O208="","",IF(COUNTIF($O$1:O207,O208)=0,MAX($P$1:P207)+1,""))</f>
        <v/>
      </c>
      <c r="Q208">
        <f>IF(A208="","",COUNTIF($A$2:A208,A208))</f>
        <v/>
      </c>
      <c r="R208">
        <f>IF(A208="","",MAX($R$1:R207)+1)</f>
        <v/>
      </c>
    </row>
    <row r="209">
      <c r="A209" s="2" t="n"/>
      <c r="H209" s="3" t="n"/>
      <c r="I209" s="3" t="n"/>
      <c r="J209" s="4">
        <f>IF(AND(H209&lt;&gt;"",I209&lt;&gt;""),(I209-H209)*24,"")</f>
        <v/>
      </c>
      <c r="M209">
        <f>IF(C209&lt;&gt;"",C209,M208)</f>
        <v/>
      </c>
      <c r="N209">
        <f>IF(D209&lt;&gt;"",D209,N208)</f>
        <v/>
      </c>
      <c r="O209">
        <f>M209&amp;": "&amp;N209</f>
        <v/>
      </c>
      <c r="P209">
        <f>IF(O209="","",IF(COUNTIF($O$1:O208,O209)=0,MAX($P$1:P208)+1,""))</f>
        <v/>
      </c>
      <c r="Q209">
        <f>IF(A209="","",COUNTIF($A$2:A209,A209))</f>
        <v/>
      </c>
      <c r="R209">
        <f>IF(A209="","",MAX($R$1:R208)+1)</f>
        <v/>
      </c>
    </row>
    <row r="210">
      <c r="A210" s="2" t="n"/>
      <c r="H210" s="3" t="n"/>
      <c r="I210" s="3" t="n"/>
      <c r="J210" s="4">
        <f>IF(AND(H210&lt;&gt;"",I210&lt;&gt;""),(I210-H210)*24,"")</f>
        <v/>
      </c>
      <c r="M210">
        <f>IF(C210&lt;&gt;"",C210,M209)</f>
        <v/>
      </c>
      <c r="N210">
        <f>IF(D210&lt;&gt;"",D210,N209)</f>
        <v/>
      </c>
      <c r="O210">
        <f>M210&amp;": "&amp;N210</f>
        <v/>
      </c>
      <c r="P210">
        <f>IF(O210="","",IF(COUNTIF($O$1:O209,O210)=0,MAX($P$1:P209)+1,""))</f>
        <v/>
      </c>
      <c r="Q210">
        <f>IF(A210="","",COUNTIF($A$2:A210,A210))</f>
        <v/>
      </c>
      <c r="R210">
        <f>IF(A210="","",MAX($R$1:R209)+1)</f>
        <v/>
      </c>
    </row>
    <row r="211">
      <c r="A211" s="2" t="n"/>
      <c r="H211" s="3" t="n"/>
      <c r="I211" s="3" t="n"/>
      <c r="J211" s="4">
        <f>IF(AND(H211&lt;&gt;"",I211&lt;&gt;""),(I211-H211)*24,"")</f>
        <v/>
      </c>
      <c r="M211">
        <f>IF(C211&lt;&gt;"",C211,M210)</f>
        <v/>
      </c>
      <c r="N211">
        <f>IF(D211&lt;&gt;"",D211,N210)</f>
        <v/>
      </c>
      <c r="O211">
        <f>M211&amp;": "&amp;N211</f>
        <v/>
      </c>
      <c r="P211">
        <f>IF(O211="","",IF(COUNTIF($O$1:O210,O211)=0,MAX($P$1:P210)+1,""))</f>
        <v/>
      </c>
      <c r="Q211">
        <f>IF(A211="","",COUNTIF($A$2:A211,A211))</f>
        <v/>
      </c>
      <c r="R211">
        <f>IF(A211="","",MAX($R$1:R210)+1)</f>
        <v/>
      </c>
    </row>
    <row r="212">
      <c r="A212" s="2" t="n"/>
      <c r="H212" s="3" t="n"/>
      <c r="I212" s="3" t="n"/>
      <c r="J212" s="4">
        <f>IF(AND(H212&lt;&gt;"",I212&lt;&gt;""),(I212-H212)*24,"")</f>
        <v/>
      </c>
      <c r="M212">
        <f>IF(C212&lt;&gt;"",C212,M211)</f>
        <v/>
      </c>
      <c r="N212">
        <f>IF(D212&lt;&gt;"",D212,N211)</f>
        <v/>
      </c>
      <c r="O212">
        <f>M212&amp;": "&amp;N212</f>
        <v/>
      </c>
      <c r="P212">
        <f>IF(O212="","",IF(COUNTIF($O$1:O211,O212)=0,MAX($P$1:P211)+1,""))</f>
        <v/>
      </c>
      <c r="Q212">
        <f>IF(A212="","",COUNTIF($A$2:A212,A212))</f>
        <v/>
      </c>
      <c r="R212">
        <f>IF(A212="","",MAX($R$1:R211)+1)</f>
        <v/>
      </c>
    </row>
    <row r="213">
      <c r="A213" s="2" t="n"/>
      <c r="H213" s="3" t="n"/>
      <c r="I213" s="3" t="n"/>
      <c r="J213" s="4">
        <f>IF(AND(H213&lt;&gt;"",I213&lt;&gt;""),(I213-H213)*24,"")</f>
        <v/>
      </c>
      <c r="M213">
        <f>IF(C213&lt;&gt;"",C213,M212)</f>
        <v/>
      </c>
      <c r="N213">
        <f>IF(D213&lt;&gt;"",D213,N212)</f>
        <v/>
      </c>
      <c r="O213">
        <f>M213&amp;": "&amp;N213</f>
        <v/>
      </c>
      <c r="P213">
        <f>IF(O213="","",IF(COUNTIF($O$1:O212,O213)=0,MAX($P$1:P212)+1,""))</f>
        <v/>
      </c>
      <c r="Q213">
        <f>IF(A213="","",COUNTIF($A$2:A213,A213))</f>
        <v/>
      </c>
      <c r="R213">
        <f>IF(A213="","",MAX($R$1:R212)+1)</f>
        <v/>
      </c>
    </row>
    <row r="214">
      <c r="A214" s="2" t="n"/>
      <c r="H214" s="3" t="n"/>
      <c r="I214" s="3" t="n"/>
      <c r="J214" s="4">
        <f>IF(AND(H214&lt;&gt;"",I214&lt;&gt;""),(I214-H214)*24,"")</f>
        <v/>
      </c>
      <c r="M214">
        <f>IF(C214&lt;&gt;"",C214,M213)</f>
        <v/>
      </c>
      <c r="N214">
        <f>IF(D214&lt;&gt;"",D214,N213)</f>
        <v/>
      </c>
      <c r="O214">
        <f>M214&amp;": "&amp;N214</f>
        <v/>
      </c>
      <c r="P214">
        <f>IF(O214="","",IF(COUNTIF($O$1:O213,O214)=0,MAX($P$1:P213)+1,""))</f>
        <v/>
      </c>
      <c r="Q214">
        <f>IF(A214="","",COUNTIF($A$2:A214,A214))</f>
        <v/>
      </c>
      <c r="R214">
        <f>IF(A214="","",MAX($R$1:R213)+1)</f>
        <v/>
      </c>
    </row>
    <row r="215">
      <c r="A215" s="2" t="n"/>
      <c r="H215" s="3" t="n"/>
      <c r="I215" s="3" t="n"/>
      <c r="J215" s="4">
        <f>IF(AND(H215&lt;&gt;"",I215&lt;&gt;""),(I215-H215)*24,"")</f>
        <v/>
      </c>
      <c r="M215">
        <f>IF(C215&lt;&gt;"",C215,M214)</f>
        <v/>
      </c>
      <c r="N215">
        <f>IF(D215&lt;&gt;"",D215,N214)</f>
        <v/>
      </c>
      <c r="O215">
        <f>M215&amp;": "&amp;N215</f>
        <v/>
      </c>
      <c r="P215">
        <f>IF(O215="","",IF(COUNTIF($O$1:O214,O215)=0,MAX($P$1:P214)+1,""))</f>
        <v/>
      </c>
      <c r="Q215">
        <f>IF(A215="","",COUNTIF($A$2:A215,A215))</f>
        <v/>
      </c>
      <c r="R215">
        <f>IF(A215="","",MAX($R$1:R214)+1)</f>
        <v/>
      </c>
    </row>
    <row r="216">
      <c r="A216" s="2" t="n"/>
      <c r="H216" s="3" t="n"/>
      <c r="I216" s="3" t="n"/>
      <c r="J216" s="4">
        <f>IF(AND(H216&lt;&gt;"",I216&lt;&gt;""),(I216-H216)*24,"")</f>
        <v/>
      </c>
      <c r="M216">
        <f>IF(C216&lt;&gt;"",C216,M215)</f>
        <v/>
      </c>
      <c r="N216">
        <f>IF(D216&lt;&gt;"",D216,N215)</f>
        <v/>
      </c>
      <c r="O216">
        <f>M216&amp;": "&amp;N216</f>
        <v/>
      </c>
      <c r="P216">
        <f>IF(O216="","",IF(COUNTIF($O$1:O215,O216)=0,MAX($P$1:P215)+1,""))</f>
        <v/>
      </c>
      <c r="Q216">
        <f>IF(A216="","",COUNTIF($A$2:A216,A216))</f>
        <v/>
      </c>
      <c r="R216">
        <f>IF(A216="","",MAX($R$1:R215)+1)</f>
        <v/>
      </c>
    </row>
    <row r="217">
      <c r="A217" s="2" t="n"/>
      <c r="H217" s="3" t="n"/>
      <c r="I217" s="3" t="n"/>
      <c r="J217" s="4">
        <f>IF(AND(H217&lt;&gt;"",I217&lt;&gt;""),(I217-H217)*24,"")</f>
        <v/>
      </c>
      <c r="M217">
        <f>IF(C217&lt;&gt;"",C217,M216)</f>
        <v/>
      </c>
      <c r="N217">
        <f>IF(D217&lt;&gt;"",D217,N216)</f>
        <v/>
      </c>
      <c r="O217">
        <f>M217&amp;": "&amp;N217</f>
        <v/>
      </c>
      <c r="P217">
        <f>IF(O217="","",IF(COUNTIF($O$1:O216,O217)=0,MAX($P$1:P216)+1,""))</f>
        <v/>
      </c>
      <c r="Q217">
        <f>IF(A217="","",COUNTIF($A$2:A217,A217))</f>
        <v/>
      </c>
      <c r="R217">
        <f>IF(A217="","",MAX($R$1:R216)+1)</f>
        <v/>
      </c>
    </row>
    <row r="218">
      <c r="A218" s="2" t="n"/>
      <c r="H218" s="3" t="n"/>
      <c r="I218" s="3" t="n"/>
      <c r="J218" s="4">
        <f>IF(AND(H218&lt;&gt;"",I218&lt;&gt;""),(I218-H218)*24,"")</f>
        <v/>
      </c>
      <c r="M218">
        <f>IF(C218&lt;&gt;"",C218,M217)</f>
        <v/>
      </c>
      <c r="N218">
        <f>IF(D218&lt;&gt;"",D218,N217)</f>
        <v/>
      </c>
      <c r="O218">
        <f>M218&amp;": "&amp;N218</f>
        <v/>
      </c>
      <c r="P218">
        <f>IF(O218="","",IF(COUNTIF($O$1:O217,O218)=0,MAX($P$1:P217)+1,""))</f>
        <v/>
      </c>
      <c r="Q218">
        <f>IF(A218="","",COUNTIF($A$2:A218,A218))</f>
        <v/>
      </c>
      <c r="R218">
        <f>IF(A218="","",MAX($R$1:R217)+1)</f>
        <v/>
      </c>
    </row>
    <row r="219">
      <c r="A219" s="2" t="n"/>
      <c r="H219" s="3" t="n"/>
      <c r="I219" s="3" t="n"/>
      <c r="J219" s="4">
        <f>IF(AND(H219&lt;&gt;"",I219&lt;&gt;""),(I219-H219)*24,"")</f>
        <v/>
      </c>
      <c r="M219">
        <f>IF(C219&lt;&gt;"",C219,M218)</f>
        <v/>
      </c>
      <c r="N219">
        <f>IF(D219&lt;&gt;"",D219,N218)</f>
        <v/>
      </c>
      <c r="O219">
        <f>M219&amp;": "&amp;N219</f>
        <v/>
      </c>
      <c r="P219">
        <f>IF(O219="","",IF(COUNTIF($O$1:O218,O219)=0,MAX($P$1:P218)+1,""))</f>
        <v/>
      </c>
      <c r="Q219">
        <f>IF(A219="","",COUNTIF($A$2:A219,A219))</f>
        <v/>
      </c>
      <c r="R219">
        <f>IF(A219="","",MAX($R$1:R218)+1)</f>
        <v/>
      </c>
    </row>
    <row r="220">
      <c r="A220" s="2" t="n"/>
      <c r="H220" s="3" t="n"/>
      <c r="I220" s="3" t="n"/>
      <c r="J220" s="4">
        <f>IF(AND(H220&lt;&gt;"",I220&lt;&gt;""),(I220-H220)*24,"")</f>
        <v/>
      </c>
      <c r="M220">
        <f>IF(C220&lt;&gt;"",C220,M219)</f>
        <v/>
      </c>
      <c r="N220">
        <f>IF(D220&lt;&gt;"",D220,N219)</f>
        <v/>
      </c>
      <c r="O220">
        <f>M220&amp;": "&amp;N220</f>
        <v/>
      </c>
      <c r="P220">
        <f>IF(O220="","",IF(COUNTIF($O$1:O219,O220)=0,MAX($P$1:P219)+1,""))</f>
        <v/>
      </c>
      <c r="Q220">
        <f>IF(A220="","",COUNTIF($A$2:A220,A220))</f>
        <v/>
      </c>
      <c r="R220">
        <f>IF(A220="","",MAX($R$1:R219)+1)</f>
        <v/>
      </c>
    </row>
    <row r="221">
      <c r="A221" s="2" t="n"/>
      <c r="H221" s="3" t="n"/>
      <c r="I221" s="3" t="n"/>
      <c r="J221" s="4">
        <f>IF(AND(H221&lt;&gt;"",I221&lt;&gt;""),(I221-H221)*24,"")</f>
        <v/>
      </c>
      <c r="M221">
        <f>IF(C221&lt;&gt;"",C221,M220)</f>
        <v/>
      </c>
      <c r="N221">
        <f>IF(D221&lt;&gt;"",D221,N220)</f>
        <v/>
      </c>
      <c r="O221">
        <f>M221&amp;": "&amp;N221</f>
        <v/>
      </c>
      <c r="P221">
        <f>IF(O221="","",IF(COUNTIF($O$1:O220,O221)=0,MAX($P$1:P220)+1,""))</f>
        <v/>
      </c>
      <c r="Q221">
        <f>IF(A221="","",COUNTIF($A$2:A221,A221))</f>
        <v/>
      </c>
      <c r="R221">
        <f>IF(A221="","",MAX($R$1:R220)+1)</f>
        <v/>
      </c>
    </row>
    <row r="222">
      <c r="A222" s="2" t="n"/>
      <c r="H222" s="3" t="n"/>
      <c r="I222" s="3" t="n"/>
      <c r="J222" s="4">
        <f>IF(AND(H222&lt;&gt;"",I222&lt;&gt;""),(I222-H222)*24,"")</f>
        <v/>
      </c>
      <c r="M222">
        <f>IF(C222&lt;&gt;"",C222,M221)</f>
        <v/>
      </c>
      <c r="N222">
        <f>IF(D222&lt;&gt;"",D222,N221)</f>
        <v/>
      </c>
      <c r="O222">
        <f>M222&amp;": "&amp;N222</f>
        <v/>
      </c>
      <c r="P222">
        <f>IF(O222="","",IF(COUNTIF($O$1:O221,O222)=0,MAX($P$1:P221)+1,""))</f>
        <v/>
      </c>
      <c r="Q222">
        <f>IF(A222="","",COUNTIF($A$2:A222,A222))</f>
        <v/>
      </c>
      <c r="R222">
        <f>IF(A222="","",MAX($R$1:R221)+1)</f>
        <v/>
      </c>
    </row>
    <row r="223">
      <c r="A223" s="2" t="n"/>
      <c r="H223" s="3" t="n"/>
      <c r="I223" s="3" t="n"/>
      <c r="J223" s="4">
        <f>IF(AND(H223&lt;&gt;"",I223&lt;&gt;""),(I223-H223)*24,"")</f>
        <v/>
      </c>
      <c r="M223">
        <f>IF(C223&lt;&gt;"",C223,M222)</f>
        <v/>
      </c>
      <c r="N223">
        <f>IF(D223&lt;&gt;"",D223,N222)</f>
        <v/>
      </c>
      <c r="O223">
        <f>M223&amp;": "&amp;N223</f>
        <v/>
      </c>
      <c r="P223">
        <f>IF(O223="","",IF(COUNTIF($O$1:O222,O223)=0,MAX($P$1:P222)+1,""))</f>
        <v/>
      </c>
      <c r="Q223">
        <f>IF(A223="","",COUNTIF($A$2:A223,A223))</f>
        <v/>
      </c>
      <c r="R223">
        <f>IF(A223="","",MAX($R$1:R222)+1)</f>
        <v/>
      </c>
    </row>
    <row r="224">
      <c r="A224" s="2" t="n"/>
      <c r="H224" s="3" t="n"/>
      <c r="I224" s="3" t="n"/>
      <c r="J224" s="4">
        <f>IF(AND(H224&lt;&gt;"",I224&lt;&gt;""),(I224-H224)*24,"")</f>
        <v/>
      </c>
      <c r="M224">
        <f>IF(C224&lt;&gt;"",C224,M223)</f>
        <v/>
      </c>
      <c r="N224">
        <f>IF(D224&lt;&gt;"",D224,N223)</f>
        <v/>
      </c>
      <c r="O224">
        <f>M224&amp;": "&amp;N224</f>
        <v/>
      </c>
      <c r="P224">
        <f>IF(O224="","",IF(COUNTIF($O$1:O223,O224)=0,MAX($P$1:P223)+1,""))</f>
        <v/>
      </c>
      <c r="Q224">
        <f>IF(A224="","",COUNTIF($A$2:A224,A224))</f>
        <v/>
      </c>
      <c r="R224">
        <f>IF(A224="","",MAX($R$1:R223)+1)</f>
        <v/>
      </c>
    </row>
    <row r="225">
      <c r="A225" s="2" t="n"/>
      <c r="H225" s="3" t="n"/>
      <c r="I225" s="3" t="n"/>
      <c r="J225" s="4">
        <f>IF(AND(H225&lt;&gt;"",I225&lt;&gt;""),(I225-H225)*24,"")</f>
        <v/>
      </c>
      <c r="M225">
        <f>IF(C225&lt;&gt;"",C225,M224)</f>
        <v/>
      </c>
      <c r="N225">
        <f>IF(D225&lt;&gt;"",D225,N224)</f>
        <v/>
      </c>
      <c r="O225">
        <f>M225&amp;": "&amp;N225</f>
        <v/>
      </c>
      <c r="P225">
        <f>IF(O225="","",IF(COUNTIF($O$1:O224,O225)=0,MAX($P$1:P224)+1,""))</f>
        <v/>
      </c>
      <c r="Q225">
        <f>IF(A225="","",COUNTIF($A$2:A225,A225))</f>
        <v/>
      </c>
      <c r="R225">
        <f>IF(A225="","",MAX($R$1:R224)+1)</f>
        <v/>
      </c>
    </row>
    <row r="226">
      <c r="A226" s="2" t="n"/>
      <c r="H226" s="3" t="n"/>
      <c r="I226" s="3" t="n"/>
      <c r="J226" s="4">
        <f>IF(AND(H226&lt;&gt;"",I226&lt;&gt;""),(I226-H226)*24,"")</f>
        <v/>
      </c>
      <c r="M226">
        <f>IF(C226&lt;&gt;"",C226,M225)</f>
        <v/>
      </c>
      <c r="N226">
        <f>IF(D226&lt;&gt;"",D226,N225)</f>
        <v/>
      </c>
      <c r="O226">
        <f>M226&amp;": "&amp;N226</f>
        <v/>
      </c>
      <c r="P226">
        <f>IF(O226="","",IF(COUNTIF($O$1:O225,O226)=0,MAX($P$1:P225)+1,""))</f>
        <v/>
      </c>
      <c r="Q226">
        <f>IF(A226="","",COUNTIF($A$2:A226,A226))</f>
        <v/>
      </c>
      <c r="R226">
        <f>IF(A226="","",MAX($R$1:R225)+1)</f>
        <v/>
      </c>
    </row>
    <row r="227">
      <c r="A227" s="2" t="n"/>
      <c r="H227" s="3" t="n"/>
      <c r="I227" s="3" t="n"/>
      <c r="J227" s="4">
        <f>IF(AND(H227&lt;&gt;"",I227&lt;&gt;""),(I227-H227)*24,"")</f>
        <v/>
      </c>
      <c r="M227">
        <f>IF(C227&lt;&gt;"",C227,M226)</f>
        <v/>
      </c>
      <c r="N227">
        <f>IF(D227&lt;&gt;"",D227,N226)</f>
        <v/>
      </c>
      <c r="O227">
        <f>M227&amp;": "&amp;N227</f>
        <v/>
      </c>
      <c r="P227">
        <f>IF(O227="","",IF(COUNTIF($O$1:O226,O227)=0,MAX($P$1:P226)+1,""))</f>
        <v/>
      </c>
      <c r="Q227">
        <f>IF(A227="","",COUNTIF($A$2:A227,A227))</f>
        <v/>
      </c>
      <c r="R227">
        <f>IF(A227="","",MAX($R$1:R226)+1)</f>
        <v/>
      </c>
    </row>
    <row r="228">
      <c r="A228" s="2" t="n"/>
      <c r="H228" s="3" t="n"/>
      <c r="I228" s="3" t="n"/>
      <c r="J228" s="4">
        <f>IF(AND(H228&lt;&gt;"",I228&lt;&gt;""),(I228-H228)*24,"")</f>
        <v/>
      </c>
      <c r="M228">
        <f>IF(C228&lt;&gt;"",C228,M227)</f>
        <v/>
      </c>
      <c r="N228">
        <f>IF(D228&lt;&gt;"",D228,N227)</f>
        <v/>
      </c>
      <c r="O228">
        <f>M228&amp;": "&amp;N228</f>
        <v/>
      </c>
      <c r="P228">
        <f>IF(O228="","",IF(COUNTIF($O$1:O227,O228)=0,MAX($P$1:P227)+1,""))</f>
        <v/>
      </c>
      <c r="Q228">
        <f>IF(A228="","",COUNTIF($A$2:A228,A228))</f>
        <v/>
      </c>
      <c r="R228">
        <f>IF(A228="","",MAX($R$1:R227)+1)</f>
        <v/>
      </c>
    </row>
    <row r="229">
      <c r="A229" s="2" t="n"/>
      <c r="H229" s="3" t="n"/>
      <c r="I229" s="3" t="n"/>
      <c r="J229" s="4">
        <f>IF(AND(H229&lt;&gt;"",I229&lt;&gt;""),(I229-H229)*24,"")</f>
        <v/>
      </c>
      <c r="M229">
        <f>IF(C229&lt;&gt;"",C229,M228)</f>
        <v/>
      </c>
      <c r="N229">
        <f>IF(D229&lt;&gt;"",D229,N228)</f>
        <v/>
      </c>
      <c r="O229">
        <f>M229&amp;": "&amp;N229</f>
        <v/>
      </c>
      <c r="P229">
        <f>IF(O229="","",IF(COUNTIF($O$1:O228,O229)=0,MAX($P$1:P228)+1,""))</f>
        <v/>
      </c>
      <c r="Q229">
        <f>IF(A229="","",COUNTIF($A$2:A229,A229))</f>
        <v/>
      </c>
      <c r="R229">
        <f>IF(A229="","",MAX($R$1:R228)+1)</f>
        <v/>
      </c>
    </row>
    <row r="230">
      <c r="A230" s="2" t="n"/>
      <c r="H230" s="3" t="n"/>
      <c r="I230" s="3" t="n"/>
      <c r="J230" s="4">
        <f>IF(AND(H230&lt;&gt;"",I230&lt;&gt;""),(I230-H230)*24,"")</f>
        <v/>
      </c>
      <c r="M230">
        <f>IF(C230&lt;&gt;"",C230,M229)</f>
        <v/>
      </c>
      <c r="N230">
        <f>IF(D230&lt;&gt;"",D230,N229)</f>
        <v/>
      </c>
      <c r="O230">
        <f>M230&amp;": "&amp;N230</f>
        <v/>
      </c>
      <c r="P230">
        <f>IF(O230="","",IF(COUNTIF($O$1:O229,O230)=0,MAX($P$1:P229)+1,""))</f>
        <v/>
      </c>
      <c r="Q230">
        <f>IF(A230="","",COUNTIF($A$2:A230,A230))</f>
        <v/>
      </c>
      <c r="R230">
        <f>IF(A230="","",MAX($R$1:R229)+1)</f>
        <v/>
      </c>
    </row>
    <row r="231">
      <c r="A231" s="2" t="n"/>
      <c r="H231" s="3" t="n"/>
      <c r="I231" s="3" t="n"/>
      <c r="J231" s="4">
        <f>IF(AND(H231&lt;&gt;"",I231&lt;&gt;""),(I231-H231)*24,"")</f>
        <v/>
      </c>
      <c r="M231">
        <f>IF(C231&lt;&gt;"",C231,M230)</f>
        <v/>
      </c>
      <c r="N231">
        <f>IF(D231&lt;&gt;"",D231,N230)</f>
        <v/>
      </c>
      <c r="O231">
        <f>M231&amp;": "&amp;N231</f>
        <v/>
      </c>
      <c r="P231">
        <f>IF(O231="","",IF(COUNTIF($O$1:O230,O231)=0,MAX($P$1:P230)+1,""))</f>
        <v/>
      </c>
      <c r="Q231">
        <f>IF(A231="","",COUNTIF($A$2:A231,A231))</f>
        <v/>
      </c>
      <c r="R231">
        <f>IF(A231="","",MAX($R$1:R230)+1)</f>
        <v/>
      </c>
    </row>
    <row r="232">
      <c r="A232" s="2" t="n"/>
      <c r="H232" s="3" t="n"/>
      <c r="I232" s="3" t="n"/>
      <c r="J232" s="4">
        <f>IF(AND(H232&lt;&gt;"",I232&lt;&gt;""),(I232-H232)*24,"")</f>
        <v/>
      </c>
      <c r="M232">
        <f>IF(C232&lt;&gt;"",C232,M231)</f>
        <v/>
      </c>
      <c r="N232">
        <f>IF(D232&lt;&gt;"",D232,N231)</f>
        <v/>
      </c>
      <c r="O232">
        <f>M232&amp;": "&amp;N232</f>
        <v/>
      </c>
      <c r="P232">
        <f>IF(O232="","",IF(COUNTIF($O$1:O231,O232)=0,MAX($P$1:P231)+1,""))</f>
        <v/>
      </c>
      <c r="Q232">
        <f>IF(A232="","",COUNTIF($A$2:A232,A232))</f>
        <v/>
      </c>
      <c r="R232">
        <f>IF(A232="","",MAX($R$1:R231)+1)</f>
        <v/>
      </c>
    </row>
    <row r="233">
      <c r="A233" s="2" t="n"/>
      <c r="H233" s="3" t="n"/>
      <c r="I233" s="3" t="n"/>
      <c r="J233" s="4">
        <f>IF(AND(H233&lt;&gt;"",I233&lt;&gt;""),(I233-H233)*24,"")</f>
        <v/>
      </c>
      <c r="M233">
        <f>IF(C233&lt;&gt;"",C233,M232)</f>
        <v/>
      </c>
      <c r="N233">
        <f>IF(D233&lt;&gt;"",D233,N232)</f>
        <v/>
      </c>
      <c r="O233">
        <f>M233&amp;": "&amp;N233</f>
        <v/>
      </c>
      <c r="P233">
        <f>IF(O233="","",IF(COUNTIF($O$1:O232,O233)=0,MAX($P$1:P232)+1,""))</f>
        <v/>
      </c>
      <c r="Q233">
        <f>IF(A233="","",COUNTIF($A$2:A233,A233))</f>
        <v/>
      </c>
      <c r="R233">
        <f>IF(A233="","",MAX($R$1:R232)+1)</f>
        <v/>
      </c>
    </row>
    <row r="234">
      <c r="A234" s="2" t="n"/>
      <c r="H234" s="3" t="n"/>
      <c r="I234" s="3" t="n"/>
      <c r="J234" s="4">
        <f>IF(AND(H234&lt;&gt;"",I234&lt;&gt;""),(I234-H234)*24,"")</f>
        <v/>
      </c>
      <c r="M234">
        <f>IF(C234&lt;&gt;"",C234,M233)</f>
        <v/>
      </c>
      <c r="N234">
        <f>IF(D234&lt;&gt;"",D234,N233)</f>
        <v/>
      </c>
      <c r="O234">
        <f>M234&amp;": "&amp;N234</f>
        <v/>
      </c>
      <c r="P234">
        <f>IF(O234="","",IF(COUNTIF($O$1:O233,O234)=0,MAX($P$1:P233)+1,""))</f>
        <v/>
      </c>
      <c r="Q234">
        <f>IF(A234="","",COUNTIF($A$2:A234,A234))</f>
        <v/>
      </c>
      <c r="R234">
        <f>IF(A234="","",MAX($R$1:R233)+1)</f>
        <v/>
      </c>
    </row>
    <row r="235">
      <c r="A235" s="2" t="n"/>
      <c r="H235" s="3" t="n"/>
      <c r="I235" s="3" t="n"/>
      <c r="J235" s="4">
        <f>IF(AND(H235&lt;&gt;"",I235&lt;&gt;""),(I235-H235)*24,"")</f>
        <v/>
      </c>
      <c r="M235">
        <f>IF(C235&lt;&gt;"",C235,M234)</f>
        <v/>
      </c>
      <c r="N235">
        <f>IF(D235&lt;&gt;"",D235,N234)</f>
        <v/>
      </c>
      <c r="O235">
        <f>M235&amp;": "&amp;N235</f>
        <v/>
      </c>
      <c r="P235">
        <f>IF(O235="","",IF(COUNTIF($O$1:O234,O235)=0,MAX($P$1:P234)+1,""))</f>
        <v/>
      </c>
      <c r="Q235">
        <f>IF(A235="","",COUNTIF($A$2:A235,A235))</f>
        <v/>
      </c>
      <c r="R235">
        <f>IF(A235="","",MAX($R$1:R234)+1)</f>
        <v/>
      </c>
    </row>
    <row r="236">
      <c r="A236" s="2" t="n"/>
      <c r="H236" s="3" t="n"/>
      <c r="I236" s="3" t="n"/>
      <c r="J236" s="4">
        <f>IF(AND(H236&lt;&gt;"",I236&lt;&gt;""),(I236-H236)*24,"")</f>
        <v/>
      </c>
      <c r="M236">
        <f>IF(C236&lt;&gt;"",C236,M235)</f>
        <v/>
      </c>
      <c r="N236">
        <f>IF(D236&lt;&gt;"",D236,N235)</f>
        <v/>
      </c>
      <c r="O236">
        <f>M236&amp;": "&amp;N236</f>
        <v/>
      </c>
      <c r="P236">
        <f>IF(O236="","",IF(COUNTIF($O$1:O235,O236)=0,MAX($P$1:P235)+1,""))</f>
        <v/>
      </c>
      <c r="Q236">
        <f>IF(A236="","",COUNTIF($A$2:A236,A236))</f>
        <v/>
      </c>
      <c r="R236">
        <f>IF(A236="","",MAX($R$1:R235)+1)</f>
        <v/>
      </c>
    </row>
    <row r="237">
      <c r="A237" s="2" t="n"/>
      <c r="H237" s="3" t="n"/>
      <c r="I237" s="3" t="n"/>
      <c r="J237" s="4">
        <f>IF(AND(H237&lt;&gt;"",I237&lt;&gt;""),(I237-H237)*24,"")</f>
        <v/>
      </c>
      <c r="M237">
        <f>IF(C237&lt;&gt;"",C237,M236)</f>
        <v/>
      </c>
      <c r="N237">
        <f>IF(D237&lt;&gt;"",D237,N236)</f>
        <v/>
      </c>
      <c r="O237">
        <f>M237&amp;": "&amp;N237</f>
        <v/>
      </c>
      <c r="P237">
        <f>IF(O237="","",IF(COUNTIF($O$1:O236,O237)=0,MAX($P$1:P236)+1,""))</f>
        <v/>
      </c>
      <c r="Q237">
        <f>IF(A237="","",COUNTIF($A$2:A237,A237))</f>
        <v/>
      </c>
      <c r="R237">
        <f>IF(A237="","",MAX($R$1:R236)+1)</f>
        <v/>
      </c>
    </row>
    <row r="238">
      <c r="A238" s="2" t="n"/>
      <c r="H238" s="3" t="n"/>
      <c r="I238" s="3" t="n"/>
      <c r="J238" s="4">
        <f>IF(AND(H238&lt;&gt;"",I238&lt;&gt;""),(I238-H238)*24,"")</f>
        <v/>
      </c>
      <c r="M238">
        <f>IF(C238&lt;&gt;"",C238,M237)</f>
        <v/>
      </c>
      <c r="N238">
        <f>IF(D238&lt;&gt;"",D238,N237)</f>
        <v/>
      </c>
      <c r="O238">
        <f>M238&amp;": "&amp;N238</f>
        <v/>
      </c>
      <c r="P238">
        <f>IF(O238="","",IF(COUNTIF($O$1:O237,O238)=0,MAX($P$1:P237)+1,""))</f>
        <v/>
      </c>
      <c r="Q238">
        <f>IF(A238="","",COUNTIF($A$2:A238,A238))</f>
        <v/>
      </c>
      <c r="R238">
        <f>IF(A238="","",MAX($R$1:R237)+1)</f>
        <v/>
      </c>
    </row>
    <row r="239">
      <c r="A239" s="2" t="n"/>
      <c r="H239" s="3" t="n"/>
      <c r="I239" s="3" t="n"/>
      <c r="J239" s="4">
        <f>IF(AND(H239&lt;&gt;"",I239&lt;&gt;""),(I239-H239)*24,"")</f>
        <v/>
      </c>
      <c r="M239">
        <f>IF(C239&lt;&gt;"",C239,M238)</f>
        <v/>
      </c>
      <c r="N239">
        <f>IF(D239&lt;&gt;"",D239,N238)</f>
        <v/>
      </c>
      <c r="O239">
        <f>M239&amp;": "&amp;N239</f>
        <v/>
      </c>
      <c r="P239">
        <f>IF(O239="","",IF(COUNTIF($O$1:O238,O239)=0,MAX($P$1:P238)+1,""))</f>
        <v/>
      </c>
      <c r="Q239">
        <f>IF(A239="","",COUNTIF($A$2:A239,A239))</f>
        <v/>
      </c>
      <c r="R239">
        <f>IF(A239="","",MAX($R$1:R238)+1)</f>
        <v/>
      </c>
    </row>
    <row r="240">
      <c r="A240" s="2" t="n"/>
      <c r="H240" s="3" t="n"/>
      <c r="I240" s="3" t="n"/>
      <c r="J240" s="4">
        <f>IF(AND(H240&lt;&gt;"",I240&lt;&gt;""),(I240-H240)*24,"")</f>
        <v/>
      </c>
      <c r="M240">
        <f>IF(C240&lt;&gt;"",C240,M239)</f>
        <v/>
      </c>
      <c r="N240">
        <f>IF(D240&lt;&gt;"",D240,N239)</f>
        <v/>
      </c>
      <c r="O240">
        <f>M240&amp;": "&amp;N240</f>
        <v/>
      </c>
      <c r="P240">
        <f>IF(O240="","",IF(COUNTIF($O$1:O239,O240)=0,MAX($P$1:P239)+1,""))</f>
        <v/>
      </c>
      <c r="Q240">
        <f>IF(A240="","",COUNTIF($A$2:A240,A240))</f>
        <v/>
      </c>
      <c r="R240">
        <f>IF(A240="","",MAX($R$1:R239)+1)</f>
        <v/>
      </c>
    </row>
    <row r="241">
      <c r="A241" s="2" t="n"/>
      <c r="H241" s="3" t="n"/>
      <c r="I241" s="3" t="n"/>
      <c r="J241" s="4">
        <f>IF(AND(H241&lt;&gt;"",I241&lt;&gt;""),(I241-H241)*24,"")</f>
        <v/>
      </c>
      <c r="M241">
        <f>IF(C241&lt;&gt;"",C241,M240)</f>
        <v/>
      </c>
      <c r="N241">
        <f>IF(D241&lt;&gt;"",D241,N240)</f>
        <v/>
      </c>
      <c r="O241">
        <f>M241&amp;": "&amp;N241</f>
        <v/>
      </c>
      <c r="P241">
        <f>IF(O241="","",IF(COUNTIF($O$1:O240,O241)=0,MAX($P$1:P240)+1,""))</f>
        <v/>
      </c>
      <c r="Q241">
        <f>IF(A241="","",COUNTIF($A$2:A241,A241))</f>
        <v/>
      </c>
      <c r="R241">
        <f>IF(A241="","",MAX($R$1:R240)+1)</f>
        <v/>
      </c>
    </row>
    <row r="242">
      <c r="A242" s="2" t="n"/>
      <c r="H242" s="3" t="n"/>
      <c r="I242" s="3" t="n"/>
      <c r="J242" s="4">
        <f>IF(AND(H242&lt;&gt;"",I242&lt;&gt;""),(I242-H242)*24,"")</f>
        <v/>
      </c>
      <c r="M242">
        <f>IF(C242&lt;&gt;"",C242,M241)</f>
        <v/>
      </c>
      <c r="N242">
        <f>IF(D242&lt;&gt;"",D242,N241)</f>
        <v/>
      </c>
      <c r="O242">
        <f>M242&amp;": "&amp;N242</f>
        <v/>
      </c>
      <c r="P242">
        <f>IF(O242="","",IF(COUNTIF($O$1:O241,O242)=0,MAX($P$1:P241)+1,""))</f>
        <v/>
      </c>
      <c r="Q242">
        <f>IF(A242="","",COUNTIF($A$2:A242,A242))</f>
        <v/>
      </c>
      <c r="R242">
        <f>IF(A242="","",MAX($R$1:R241)+1)</f>
        <v/>
      </c>
    </row>
    <row r="243">
      <c r="A243" s="2" t="n"/>
      <c r="H243" s="3" t="n"/>
      <c r="I243" s="3" t="n"/>
      <c r="J243" s="4">
        <f>IF(AND(H243&lt;&gt;"",I243&lt;&gt;""),(I243-H243)*24,"")</f>
        <v/>
      </c>
      <c r="M243">
        <f>IF(C243&lt;&gt;"",C243,M242)</f>
        <v/>
      </c>
      <c r="N243">
        <f>IF(D243&lt;&gt;"",D243,N242)</f>
        <v/>
      </c>
      <c r="O243">
        <f>M243&amp;": "&amp;N243</f>
        <v/>
      </c>
      <c r="P243">
        <f>IF(O243="","",IF(COUNTIF($O$1:O242,O243)=0,MAX($P$1:P242)+1,""))</f>
        <v/>
      </c>
      <c r="Q243">
        <f>IF(A243="","",COUNTIF($A$2:A243,A243))</f>
        <v/>
      </c>
      <c r="R243">
        <f>IF(A243="","",MAX($R$1:R242)+1)</f>
        <v/>
      </c>
    </row>
    <row r="244">
      <c r="A244" s="2" t="n"/>
      <c r="H244" s="3" t="n"/>
      <c r="I244" s="3" t="n"/>
      <c r="J244" s="4">
        <f>IF(AND(H244&lt;&gt;"",I244&lt;&gt;""),(I244-H244)*24,"")</f>
        <v/>
      </c>
      <c r="M244">
        <f>IF(C244&lt;&gt;"",C244,M243)</f>
        <v/>
      </c>
      <c r="N244">
        <f>IF(D244&lt;&gt;"",D244,N243)</f>
        <v/>
      </c>
      <c r="O244">
        <f>M244&amp;": "&amp;N244</f>
        <v/>
      </c>
      <c r="P244">
        <f>IF(O244="","",IF(COUNTIF($O$1:O243,O244)=0,MAX($P$1:P243)+1,""))</f>
        <v/>
      </c>
      <c r="Q244">
        <f>IF(A244="","",COUNTIF($A$2:A244,A244))</f>
        <v/>
      </c>
      <c r="R244">
        <f>IF(A244="","",MAX($R$1:R243)+1)</f>
        <v/>
      </c>
    </row>
    <row r="245">
      <c r="A245" s="2" t="n"/>
      <c r="H245" s="3" t="n"/>
      <c r="I245" s="3" t="n"/>
      <c r="J245" s="4">
        <f>IF(AND(H245&lt;&gt;"",I245&lt;&gt;""),(I245-H245)*24,"")</f>
        <v/>
      </c>
      <c r="M245">
        <f>IF(C245&lt;&gt;"",C245,M244)</f>
        <v/>
      </c>
      <c r="N245">
        <f>IF(D245&lt;&gt;"",D245,N244)</f>
        <v/>
      </c>
      <c r="O245">
        <f>M245&amp;": "&amp;N245</f>
        <v/>
      </c>
      <c r="P245">
        <f>IF(O245="","",IF(COUNTIF($O$1:O244,O245)=0,MAX($P$1:P244)+1,""))</f>
        <v/>
      </c>
      <c r="Q245">
        <f>IF(A245="","",COUNTIF($A$2:A245,A245))</f>
        <v/>
      </c>
      <c r="R245">
        <f>IF(A245="","",MAX($R$1:R244)+1)</f>
        <v/>
      </c>
    </row>
    <row r="246">
      <c r="A246" s="2" t="n"/>
      <c r="H246" s="3" t="n"/>
      <c r="I246" s="3" t="n"/>
      <c r="J246" s="4">
        <f>IF(AND(H246&lt;&gt;"",I246&lt;&gt;""),(I246-H246)*24,"")</f>
        <v/>
      </c>
      <c r="M246">
        <f>IF(C246&lt;&gt;"",C246,M245)</f>
        <v/>
      </c>
      <c r="N246">
        <f>IF(D246&lt;&gt;"",D246,N245)</f>
        <v/>
      </c>
      <c r="O246">
        <f>M246&amp;": "&amp;N246</f>
        <v/>
      </c>
      <c r="P246">
        <f>IF(O246="","",IF(COUNTIF($O$1:O245,O246)=0,MAX($P$1:P245)+1,""))</f>
        <v/>
      </c>
      <c r="Q246">
        <f>IF(A246="","",COUNTIF($A$2:A246,A246))</f>
        <v/>
      </c>
      <c r="R246">
        <f>IF(A246="","",MAX($R$1:R245)+1)</f>
        <v/>
      </c>
    </row>
    <row r="247">
      <c r="A247" s="2" t="n"/>
      <c r="H247" s="3" t="n"/>
      <c r="I247" s="3" t="n"/>
      <c r="J247" s="4">
        <f>IF(AND(H247&lt;&gt;"",I247&lt;&gt;""),(I247-H247)*24,"")</f>
        <v/>
      </c>
      <c r="M247">
        <f>IF(C247&lt;&gt;"",C247,M246)</f>
        <v/>
      </c>
      <c r="N247">
        <f>IF(D247&lt;&gt;"",D247,N246)</f>
        <v/>
      </c>
      <c r="O247">
        <f>M247&amp;": "&amp;N247</f>
        <v/>
      </c>
      <c r="P247">
        <f>IF(O247="","",IF(COUNTIF($O$1:O246,O247)=0,MAX($P$1:P246)+1,""))</f>
        <v/>
      </c>
      <c r="Q247">
        <f>IF(A247="","",COUNTIF($A$2:A247,A247))</f>
        <v/>
      </c>
      <c r="R247">
        <f>IF(A247="","",MAX($R$1:R246)+1)</f>
        <v/>
      </c>
    </row>
    <row r="248">
      <c r="A248" s="2" t="n"/>
      <c r="H248" s="3" t="n"/>
      <c r="I248" s="3" t="n"/>
      <c r="J248" s="4">
        <f>IF(AND(H248&lt;&gt;"",I248&lt;&gt;""),(I248-H248)*24,"")</f>
        <v/>
      </c>
      <c r="M248">
        <f>IF(C248&lt;&gt;"",C248,M247)</f>
        <v/>
      </c>
      <c r="N248">
        <f>IF(D248&lt;&gt;"",D248,N247)</f>
        <v/>
      </c>
      <c r="O248">
        <f>M248&amp;": "&amp;N248</f>
        <v/>
      </c>
      <c r="P248">
        <f>IF(O248="","",IF(COUNTIF($O$1:O247,O248)=0,MAX($P$1:P247)+1,""))</f>
        <v/>
      </c>
      <c r="Q248">
        <f>IF(A248="","",COUNTIF($A$2:A248,A248))</f>
        <v/>
      </c>
      <c r="R248">
        <f>IF(A248="","",MAX($R$1:R247)+1)</f>
        <v/>
      </c>
    </row>
    <row r="249">
      <c r="A249" s="2" t="n"/>
      <c r="H249" s="3" t="n"/>
      <c r="I249" s="3" t="n"/>
      <c r="J249" s="4">
        <f>IF(AND(H249&lt;&gt;"",I249&lt;&gt;""),(I249-H249)*24,"")</f>
        <v/>
      </c>
      <c r="M249">
        <f>IF(C249&lt;&gt;"",C249,M248)</f>
        <v/>
      </c>
      <c r="N249">
        <f>IF(D249&lt;&gt;"",D249,N248)</f>
        <v/>
      </c>
      <c r="O249">
        <f>M249&amp;": "&amp;N249</f>
        <v/>
      </c>
      <c r="P249">
        <f>IF(O249="","",IF(COUNTIF($O$1:O248,O249)=0,MAX($P$1:P248)+1,""))</f>
        <v/>
      </c>
      <c r="Q249">
        <f>IF(A249="","",COUNTIF($A$2:A249,A249))</f>
        <v/>
      </c>
      <c r="R249">
        <f>IF(A249="","",MAX($R$1:R248)+1)</f>
        <v/>
      </c>
    </row>
    <row r="250">
      <c r="A250" s="2" t="n"/>
      <c r="H250" s="3" t="n"/>
      <c r="I250" s="3" t="n"/>
      <c r="J250" s="4">
        <f>IF(AND(H250&lt;&gt;"",I250&lt;&gt;""),(I250-H250)*24,"")</f>
        <v/>
      </c>
      <c r="M250">
        <f>IF(C250&lt;&gt;"",C250,M249)</f>
        <v/>
      </c>
      <c r="N250">
        <f>IF(D250&lt;&gt;"",D250,N249)</f>
        <v/>
      </c>
      <c r="O250">
        <f>M250&amp;": "&amp;N250</f>
        <v/>
      </c>
      <c r="P250">
        <f>IF(O250="","",IF(COUNTIF($O$1:O249,O250)=0,MAX($P$1:P249)+1,""))</f>
        <v/>
      </c>
      <c r="Q250">
        <f>IF(A250="","",COUNTIF($A$2:A250,A250))</f>
        <v/>
      </c>
      <c r="R250">
        <f>IF(A250="","",MAX($R$1:R249)+1)</f>
        <v/>
      </c>
    </row>
    <row r="251">
      <c r="A251" s="2" t="n"/>
      <c r="H251" s="3" t="n"/>
      <c r="I251" s="3" t="n"/>
      <c r="J251" s="4">
        <f>IF(AND(H251&lt;&gt;"",I251&lt;&gt;""),(I251-H251)*24,"")</f>
        <v/>
      </c>
      <c r="M251">
        <f>IF(C251&lt;&gt;"",C251,M250)</f>
        <v/>
      </c>
      <c r="N251">
        <f>IF(D251&lt;&gt;"",D251,N250)</f>
        <v/>
      </c>
      <c r="O251">
        <f>M251&amp;": "&amp;N251</f>
        <v/>
      </c>
      <c r="P251">
        <f>IF(O251="","",IF(COUNTIF($O$1:O250,O251)=0,MAX($P$1:P250)+1,""))</f>
        <v/>
      </c>
      <c r="Q251">
        <f>IF(A251="","",COUNTIF($A$2:A251,A251))</f>
        <v/>
      </c>
      <c r="R251">
        <f>IF(A251="","",MAX($R$1:R250)+1)</f>
        <v/>
      </c>
    </row>
    <row r="252">
      <c r="A252" s="2" t="n"/>
      <c r="H252" s="3" t="n"/>
      <c r="I252" s="3" t="n"/>
      <c r="J252" s="4">
        <f>IF(AND(H252&lt;&gt;"",I252&lt;&gt;""),(I252-H252)*24,"")</f>
        <v/>
      </c>
      <c r="M252">
        <f>IF(C252&lt;&gt;"",C252,M251)</f>
        <v/>
      </c>
      <c r="N252">
        <f>IF(D252&lt;&gt;"",D252,N251)</f>
        <v/>
      </c>
      <c r="O252">
        <f>M252&amp;": "&amp;N252</f>
        <v/>
      </c>
      <c r="P252">
        <f>IF(O252="","",IF(COUNTIF($O$1:O251,O252)=0,MAX($P$1:P251)+1,""))</f>
        <v/>
      </c>
      <c r="Q252">
        <f>IF(A252="","",COUNTIF($A$2:A252,A252))</f>
        <v/>
      </c>
      <c r="R252">
        <f>IF(A252="","",MAX($R$1:R251)+1)</f>
        <v/>
      </c>
    </row>
    <row r="253">
      <c r="A253" s="2" t="n"/>
      <c r="H253" s="3" t="n"/>
      <c r="I253" s="3" t="n"/>
      <c r="J253" s="4">
        <f>IF(AND(H253&lt;&gt;"",I253&lt;&gt;""),(I253-H253)*24,"")</f>
        <v/>
      </c>
      <c r="M253">
        <f>IF(C253&lt;&gt;"",C253,M252)</f>
        <v/>
      </c>
      <c r="N253">
        <f>IF(D253&lt;&gt;"",D253,N252)</f>
        <v/>
      </c>
      <c r="O253">
        <f>M253&amp;": "&amp;N253</f>
        <v/>
      </c>
      <c r="P253">
        <f>IF(O253="","",IF(COUNTIF($O$1:O252,O253)=0,MAX($P$1:P252)+1,""))</f>
        <v/>
      </c>
      <c r="Q253">
        <f>IF(A253="","",COUNTIF($A$2:A253,A253))</f>
        <v/>
      </c>
      <c r="R253">
        <f>IF(A253="","",MAX($R$1:R252)+1)</f>
        <v/>
      </c>
    </row>
    <row r="254">
      <c r="A254" s="2" t="n"/>
      <c r="H254" s="3" t="n"/>
      <c r="I254" s="3" t="n"/>
      <c r="J254" s="4">
        <f>IF(AND(H254&lt;&gt;"",I254&lt;&gt;""),(I254-H254)*24,"")</f>
        <v/>
      </c>
      <c r="M254">
        <f>IF(C254&lt;&gt;"",C254,M253)</f>
        <v/>
      </c>
      <c r="N254">
        <f>IF(D254&lt;&gt;"",D254,N253)</f>
        <v/>
      </c>
      <c r="O254">
        <f>M254&amp;": "&amp;N254</f>
        <v/>
      </c>
      <c r="P254">
        <f>IF(O254="","",IF(COUNTIF($O$1:O253,O254)=0,MAX($P$1:P253)+1,""))</f>
        <v/>
      </c>
      <c r="Q254">
        <f>IF(A254="","",COUNTIF($A$2:A254,A254))</f>
        <v/>
      </c>
      <c r="R254">
        <f>IF(A254="","",MAX($R$1:R253)+1)</f>
        <v/>
      </c>
    </row>
    <row r="255">
      <c r="A255" s="2" t="n"/>
      <c r="H255" s="3" t="n"/>
      <c r="I255" s="3" t="n"/>
      <c r="J255" s="4">
        <f>IF(AND(H255&lt;&gt;"",I255&lt;&gt;""),(I255-H255)*24,"")</f>
        <v/>
      </c>
      <c r="M255">
        <f>IF(C255&lt;&gt;"",C255,M254)</f>
        <v/>
      </c>
      <c r="N255">
        <f>IF(D255&lt;&gt;"",D255,N254)</f>
        <v/>
      </c>
      <c r="O255">
        <f>M255&amp;": "&amp;N255</f>
        <v/>
      </c>
      <c r="P255">
        <f>IF(O255="","",IF(COUNTIF($O$1:O254,O255)=0,MAX($P$1:P254)+1,""))</f>
        <v/>
      </c>
      <c r="Q255">
        <f>IF(A255="","",COUNTIF($A$2:A255,A255))</f>
        <v/>
      </c>
      <c r="R255">
        <f>IF(A255="","",MAX($R$1:R254)+1)</f>
        <v/>
      </c>
    </row>
    <row r="256">
      <c r="A256" s="2" t="n"/>
      <c r="H256" s="3" t="n"/>
      <c r="I256" s="3" t="n"/>
      <c r="J256" s="4">
        <f>IF(AND(H256&lt;&gt;"",I256&lt;&gt;""),(I256-H256)*24,"")</f>
        <v/>
      </c>
      <c r="M256">
        <f>IF(C256&lt;&gt;"",C256,M255)</f>
        <v/>
      </c>
      <c r="N256">
        <f>IF(D256&lt;&gt;"",D256,N255)</f>
        <v/>
      </c>
      <c r="O256">
        <f>M256&amp;": "&amp;N256</f>
        <v/>
      </c>
      <c r="P256">
        <f>IF(O256="","",IF(COUNTIF($O$1:O255,O256)=0,MAX($P$1:P255)+1,""))</f>
        <v/>
      </c>
      <c r="Q256">
        <f>IF(A256="","",COUNTIF($A$2:A256,A256))</f>
        <v/>
      </c>
      <c r="R256">
        <f>IF(A256="","",MAX($R$1:R255)+1)</f>
        <v/>
      </c>
    </row>
    <row r="257">
      <c r="A257" s="2" t="n"/>
      <c r="H257" s="3" t="n"/>
      <c r="I257" s="3" t="n"/>
      <c r="J257" s="4">
        <f>IF(AND(H257&lt;&gt;"",I257&lt;&gt;""),(I257-H257)*24,"")</f>
        <v/>
      </c>
      <c r="M257">
        <f>IF(C257&lt;&gt;"",C257,M256)</f>
        <v/>
      </c>
      <c r="N257">
        <f>IF(D257&lt;&gt;"",D257,N256)</f>
        <v/>
      </c>
      <c r="O257">
        <f>M257&amp;": "&amp;N257</f>
        <v/>
      </c>
      <c r="P257">
        <f>IF(O257="","",IF(COUNTIF($O$1:O256,O257)=0,MAX($P$1:P256)+1,""))</f>
        <v/>
      </c>
      <c r="Q257">
        <f>IF(A257="","",COUNTIF($A$2:A257,A257))</f>
        <v/>
      </c>
      <c r="R257">
        <f>IF(A257="","",MAX($R$1:R256)+1)</f>
        <v/>
      </c>
    </row>
    <row r="258">
      <c r="A258" s="2" t="n"/>
      <c r="H258" s="3" t="n"/>
      <c r="I258" s="3" t="n"/>
      <c r="J258" s="4">
        <f>IF(AND(H258&lt;&gt;"",I258&lt;&gt;""),(I258-H258)*24,"")</f>
        <v/>
      </c>
      <c r="M258">
        <f>IF(C258&lt;&gt;"",C258,M257)</f>
        <v/>
      </c>
      <c r="N258">
        <f>IF(D258&lt;&gt;"",D258,N257)</f>
        <v/>
      </c>
      <c r="O258">
        <f>M258&amp;": "&amp;N258</f>
        <v/>
      </c>
      <c r="P258">
        <f>IF(O258="","",IF(COUNTIF($O$1:O257,O258)=0,MAX($P$1:P257)+1,""))</f>
        <v/>
      </c>
      <c r="Q258">
        <f>IF(A258="","",COUNTIF($A$2:A258,A258))</f>
        <v/>
      </c>
      <c r="R258">
        <f>IF(A258="","",MAX($R$1:R257)+1)</f>
        <v/>
      </c>
    </row>
    <row r="259">
      <c r="A259" s="2" t="n"/>
      <c r="H259" s="3" t="n"/>
      <c r="I259" s="3" t="n"/>
      <c r="J259" s="4">
        <f>IF(AND(H259&lt;&gt;"",I259&lt;&gt;""),(I259-H259)*24,"")</f>
        <v/>
      </c>
      <c r="M259">
        <f>IF(C259&lt;&gt;"",C259,M258)</f>
        <v/>
      </c>
      <c r="N259">
        <f>IF(D259&lt;&gt;"",D259,N258)</f>
        <v/>
      </c>
      <c r="O259">
        <f>M259&amp;": "&amp;N259</f>
        <v/>
      </c>
      <c r="P259">
        <f>IF(O259="","",IF(COUNTIF($O$1:O258,O259)=0,MAX($P$1:P258)+1,""))</f>
        <v/>
      </c>
      <c r="Q259">
        <f>IF(A259="","",COUNTIF($A$2:A259,A259))</f>
        <v/>
      </c>
      <c r="R259">
        <f>IF(A259="","",MAX($R$1:R258)+1)</f>
        <v/>
      </c>
    </row>
    <row r="260">
      <c r="A260" s="2" t="n"/>
      <c r="H260" s="3" t="n"/>
      <c r="I260" s="3" t="n"/>
      <c r="J260" s="4">
        <f>IF(AND(H260&lt;&gt;"",I260&lt;&gt;""),(I260-H260)*24,"")</f>
        <v/>
      </c>
      <c r="M260">
        <f>IF(C260&lt;&gt;"",C260,M259)</f>
        <v/>
      </c>
      <c r="N260">
        <f>IF(D260&lt;&gt;"",D260,N259)</f>
        <v/>
      </c>
      <c r="O260">
        <f>M260&amp;": "&amp;N260</f>
        <v/>
      </c>
      <c r="P260">
        <f>IF(O260="","",IF(COUNTIF($O$1:O259,O260)=0,MAX($P$1:P259)+1,""))</f>
        <v/>
      </c>
      <c r="Q260">
        <f>IF(A260="","",COUNTIF($A$2:A260,A260))</f>
        <v/>
      </c>
      <c r="R260">
        <f>IF(A260="","",MAX($R$1:R259)+1)</f>
        <v/>
      </c>
    </row>
    <row r="261">
      <c r="A261" s="2" t="n"/>
      <c r="H261" s="3" t="n"/>
      <c r="I261" s="3" t="n"/>
      <c r="J261" s="4">
        <f>IF(AND(H261&lt;&gt;"",I261&lt;&gt;""),(I261-H261)*24,"")</f>
        <v/>
      </c>
      <c r="M261">
        <f>IF(C261&lt;&gt;"",C261,M260)</f>
        <v/>
      </c>
      <c r="N261">
        <f>IF(D261&lt;&gt;"",D261,N260)</f>
        <v/>
      </c>
      <c r="O261">
        <f>M261&amp;": "&amp;N261</f>
        <v/>
      </c>
      <c r="P261">
        <f>IF(O261="","",IF(COUNTIF($O$1:O260,O261)=0,MAX($P$1:P260)+1,""))</f>
        <v/>
      </c>
      <c r="Q261">
        <f>IF(A261="","",COUNTIF($A$2:A261,A261))</f>
        <v/>
      </c>
      <c r="R261">
        <f>IF(A261="","",MAX($R$1:R260)+1)</f>
        <v/>
      </c>
    </row>
    <row r="262">
      <c r="A262" s="2" t="n"/>
      <c r="H262" s="3" t="n"/>
      <c r="I262" s="3" t="n"/>
      <c r="J262" s="4">
        <f>IF(AND(H262&lt;&gt;"",I262&lt;&gt;""),(I262-H262)*24,"")</f>
        <v/>
      </c>
      <c r="M262">
        <f>IF(C262&lt;&gt;"",C262,M261)</f>
        <v/>
      </c>
      <c r="N262">
        <f>IF(D262&lt;&gt;"",D262,N261)</f>
        <v/>
      </c>
      <c r="O262">
        <f>M262&amp;": "&amp;N262</f>
        <v/>
      </c>
      <c r="P262">
        <f>IF(O262="","",IF(COUNTIF($O$1:O261,O262)=0,MAX($P$1:P261)+1,""))</f>
        <v/>
      </c>
      <c r="Q262">
        <f>IF(A262="","",COUNTIF($A$2:A262,A262))</f>
        <v/>
      </c>
      <c r="R262">
        <f>IF(A262="","",MAX($R$1:R261)+1)</f>
        <v/>
      </c>
    </row>
    <row r="263">
      <c r="A263" s="2" t="n"/>
      <c r="H263" s="3" t="n"/>
      <c r="I263" s="3" t="n"/>
      <c r="J263" s="4">
        <f>IF(AND(H263&lt;&gt;"",I263&lt;&gt;""),(I263-H263)*24,"")</f>
        <v/>
      </c>
      <c r="M263">
        <f>IF(C263&lt;&gt;"",C263,M262)</f>
        <v/>
      </c>
      <c r="N263">
        <f>IF(D263&lt;&gt;"",D263,N262)</f>
        <v/>
      </c>
      <c r="O263">
        <f>M263&amp;": "&amp;N263</f>
        <v/>
      </c>
      <c r="P263">
        <f>IF(O263="","",IF(COUNTIF($O$1:O262,O263)=0,MAX($P$1:P262)+1,""))</f>
        <v/>
      </c>
      <c r="Q263">
        <f>IF(A263="","",COUNTIF($A$2:A263,A263))</f>
        <v/>
      </c>
      <c r="R263">
        <f>IF(A263="","",MAX($R$1:R262)+1)</f>
        <v/>
      </c>
    </row>
    <row r="264">
      <c r="A264" s="2" t="n"/>
      <c r="H264" s="3" t="n"/>
      <c r="I264" s="3" t="n"/>
      <c r="J264" s="4">
        <f>IF(AND(H264&lt;&gt;"",I264&lt;&gt;""),(I264-H264)*24,"")</f>
        <v/>
      </c>
      <c r="M264">
        <f>IF(C264&lt;&gt;"",C264,M263)</f>
        <v/>
      </c>
      <c r="N264">
        <f>IF(D264&lt;&gt;"",D264,N263)</f>
        <v/>
      </c>
      <c r="O264">
        <f>M264&amp;": "&amp;N264</f>
        <v/>
      </c>
      <c r="P264">
        <f>IF(O264="","",IF(COUNTIF($O$1:O263,O264)=0,MAX($P$1:P263)+1,""))</f>
        <v/>
      </c>
      <c r="Q264">
        <f>IF(A264="","",COUNTIF($A$2:A264,A264))</f>
        <v/>
      </c>
      <c r="R264">
        <f>IF(A264="","",MAX($R$1:R263)+1)</f>
        <v/>
      </c>
    </row>
    <row r="265">
      <c r="A265" s="2" t="n"/>
      <c r="H265" s="3" t="n"/>
      <c r="I265" s="3" t="n"/>
      <c r="J265" s="4">
        <f>IF(AND(H265&lt;&gt;"",I265&lt;&gt;""),(I265-H265)*24,"")</f>
        <v/>
      </c>
      <c r="M265">
        <f>IF(C265&lt;&gt;"",C265,M264)</f>
        <v/>
      </c>
      <c r="N265">
        <f>IF(D265&lt;&gt;"",D265,N264)</f>
        <v/>
      </c>
      <c r="O265">
        <f>M265&amp;": "&amp;N265</f>
        <v/>
      </c>
      <c r="P265">
        <f>IF(O265="","",IF(COUNTIF($O$1:O264,O265)=0,MAX($P$1:P264)+1,""))</f>
        <v/>
      </c>
      <c r="Q265">
        <f>IF(A265="","",COUNTIF($A$2:A265,A265))</f>
        <v/>
      </c>
      <c r="R265">
        <f>IF(A265="","",MAX($R$1:R264)+1)</f>
        <v/>
      </c>
    </row>
    <row r="266">
      <c r="A266" s="2" t="n"/>
      <c r="H266" s="3" t="n"/>
      <c r="I266" s="3" t="n"/>
      <c r="J266" s="4">
        <f>IF(AND(H266&lt;&gt;"",I266&lt;&gt;""),(I266-H266)*24,"")</f>
        <v/>
      </c>
      <c r="M266">
        <f>IF(C266&lt;&gt;"",C266,M265)</f>
        <v/>
      </c>
      <c r="N266">
        <f>IF(D266&lt;&gt;"",D266,N265)</f>
        <v/>
      </c>
      <c r="O266">
        <f>M266&amp;": "&amp;N266</f>
        <v/>
      </c>
      <c r="P266">
        <f>IF(O266="","",IF(COUNTIF($O$1:O265,O266)=0,MAX($P$1:P265)+1,""))</f>
        <v/>
      </c>
      <c r="Q266">
        <f>IF(A266="","",COUNTIF($A$2:A266,A266))</f>
        <v/>
      </c>
      <c r="R266">
        <f>IF(A266="","",MAX($R$1:R265)+1)</f>
        <v/>
      </c>
    </row>
    <row r="267">
      <c r="A267" s="2" t="n"/>
      <c r="H267" s="3" t="n"/>
      <c r="I267" s="3" t="n"/>
      <c r="J267" s="4">
        <f>IF(AND(H267&lt;&gt;"",I267&lt;&gt;""),(I267-H267)*24,"")</f>
        <v/>
      </c>
      <c r="M267">
        <f>IF(C267&lt;&gt;"",C267,M266)</f>
        <v/>
      </c>
      <c r="N267">
        <f>IF(D267&lt;&gt;"",D267,N266)</f>
        <v/>
      </c>
      <c r="O267">
        <f>M267&amp;": "&amp;N267</f>
        <v/>
      </c>
      <c r="P267">
        <f>IF(O267="","",IF(COUNTIF($O$1:O266,O267)=0,MAX($P$1:P266)+1,""))</f>
        <v/>
      </c>
      <c r="Q267">
        <f>IF(A267="","",COUNTIF($A$2:A267,A267))</f>
        <v/>
      </c>
      <c r="R267">
        <f>IF(A267="","",MAX($R$1:R266)+1)</f>
        <v/>
      </c>
    </row>
    <row r="268">
      <c r="A268" s="2" t="n"/>
      <c r="H268" s="3" t="n"/>
      <c r="I268" s="3" t="n"/>
      <c r="J268" s="4">
        <f>IF(AND(H268&lt;&gt;"",I268&lt;&gt;""),(I268-H268)*24,"")</f>
        <v/>
      </c>
      <c r="M268">
        <f>IF(C268&lt;&gt;"",C268,M267)</f>
        <v/>
      </c>
      <c r="N268">
        <f>IF(D268&lt;&gt;"",D268,N267)</f>
        <v/>
      </c>
      <c r="O268">
        <f>M268&amp;": "&amp;N268</f>
        <v/>
      </c>
      <c r="P268">
        <f>IF(O268="","",IF(COUNTIF($O$1:O267,O268)=0,MAX($P$1:P267)+1,""))</f>
        <v/>
      </c>
      <c r="Q268">
        <f>IF(A268="","",COUNTIF($A$2:A268,A268))</f>
        <v/>
      </c>
      <c r="R268">
        <f>IF(A268="","",MAX($R$1:R267)+1)</f>
        <v/>
      </c>
    </row>
    <row r="269">
      <c r="A269" s="2" t="n"/>
      <c r="H269" s="3" t="n"/>
      <c r="I269" s="3" t="n"/>
      <c r="J269" s="4">
        <f>IF(AND(H269&lt;&gt;"",I269&lt;&gt;""),(I269-H269)*24,"")</f>
        <v/>
      </c>
      <c r="M269">
        <f>IF(C269&lt;&gt;"",C269,M268)</f>
        <v/>
      </c>
      <c r="N269">
        <f>IF(D269&lt;&gt;"",D269,N268)</f>
        <v/>
      </c>
      <c r="O269">
        <f>M269&amp;": "&amp;N269</f>
        <v/>
      </c>
      <c r="P269">
        <f>IF(O269="","",IF(COUNTIF($O$1:O268,O269)=0,MAX($P$1:P268)+1,""))</f>
        <v/>
      </c>
      <c r="Q269">
        <f>IF(A269="","",COUNTIF($A$2:A269,A269))</f>
        <v/>
      </c>
      <c r="R269">
        <f>IF(A269="","",MAX($R$1:R268)+1)</f>
        <v/>
      </c>
    </row>
    <row r="270">
      <c r="A270" s="2" t="n"/>
      <c r="H270" s="3" t="n"/>
      <c r="I270" s="3" t="n"/>
      <c r="J270" s="4">
        <f>IF(AND(H270&lt;&gt;"",I270&lt;&gt;""),(I270-H270)*24,"")</f>
        <v/>
      </c>
      <c r="M270">
        <f>IF(C270&lt;&gt;"",C270,M269)</f>
        <v/>
      </c>
      <c r="N270">
        <f>IF(D270&lt;&gt;"",D270,N269)</f>
        <v/>
      </c>
      <c r="O270">
        <f>M270&amp;": "&amp;N270</f>
        <v/>
      </c>
      <c r="P270">
        <f>IF(O270="","",IF(COUNTIF($O$1:O269,O270)=0,MAX($P$1:P269)+1,""))</f>
        <v/>
      </c>
      <c r="Q270">
        <f>IF(A270="","",COUNTIF($A$2:A270,A270))</f>
        <v/>
      </c>
      <c r="R270">
        <f>IF(A270="","",MAX($R$1:R269)+1)</f>
        <v/>
      </c>
    </row>
    <row r="271">
      <c r="A271" s="2" t="n"/>
      <c r="H271" s="3" t="n"/>
      <c r="I271" s="3" t="n"/>
      <c r="J271" s="4">
        <f>IF(AND(H271&lt;&gt;"",I271&lt;&gt;""),(I271-H271)*24,"")</f>
        <v/>
      </c>
      <c r="M271">
        <f>IF(C271&lt;&gt;"",C271,M270)</f>
        <v/>
      </c>
      <c r="N271">
        <f>IF(D271&lt;&gt;"",D271,N270)</f>
        <v/>
      </c>
      <c r="O271">
        <f>M271&amp;": "&amp;N271</f>
        <v/>
      </c>
      <c r="P271">
        <f>IF(O271="","",IF(COUNTIF($O$1:O270,O271)=0,MAX($P$1:P270)+1,""))</f>
        <v/>
      </c>
      <c r="Q271">
        <f>IF(A271="","",COUNTIF($A$2:A271,A271))</f>
        <v/>
      </c>
      <c r="R271">
        <f>IF(A271="","",MAX($R$1:R270)+1)</f>
        <v/>
      </c>
    </row>
    <row r="272">
      <c r="A272" s="2" t="n"/>
      <c r="H272" s="3" t="n"/>
      <c r="I272" s="3" t="n"/>
      <c r="J272" s="4">
        <f>IF(AND(H272&lt;&gt;"",I272&lt;&gt;""),(I272-H272)*24,"")</f>
        <v/>
      </c>
      <c r="M272">
        <f>IF(C272&lt;&gt;"",C272,M271)</f>
        <v/>
      </c>
      <c r="N272">
        <f>IF(D272&lt;&gt;"",D272,N271)</f>
        <v/>
      </c>
      <c r="O272">
        <f>M272&amp;": "&amp;N272</f>
        <v/>
      </c>
      <c r="P272">
        <f>IF(O272="","",IF(COUNTIF($O$1:O271,O272)=0,MAX($P$1:P271)+1,""))</f>
        <v/>
      </c>
      <c r="Q272">
        <f>IF(A272="","",COUNTIF($A$2:A272,A272))</f>
        <v/>
      </c>
      <c r="R272">
        <f>IF(A272="","",MAX($R$1:R271)+1)</f>
        <v/>
      </c>
    </row>
    <row r="273">
      <c r="A273" s="2" t="n"/>
      <c r="H273" s="3" t="n"/>
      <c r="I273" s="3" t="n"/>
      <c r="J273" s="4">
        <f>IF(AND(H273&lt;&gt;"",I273&lt;&gt;""),(I273-H273)*24,"")</f>
        <v/>
      </c>
      <c r="M273">
        <f>IF(C273&lt;&gt;"",C273,M272)</f>
        <v/>
      </c>
      <c r="N273">
        <f>IF(D273&lt;&gt;"",D273,N272)</f>
        <v/>
      </c>
      <c r="O273">
        <f>M273&amp;": "&amp;N273</f>
        <v/>
      </c>
      <c r="P273">
        <f>IF(O273="","",IF(COUNTIF($O$1:O272,O273)=0,MAX($P$1:P272)+1,""))</f>
        <v/>
      </c>
      <c r="Q273">
        <f>IF(A273="","",COUNTIF($A$2:A273,A273))</f>
        <v/>
      </c>
      <c r="R273">
        <f>IF(A273="","",MAX($R$1:R272)+1)</f>
        <v/>
      </c>
    </row>
    <row r="274">
      <c r="A274" s="2" t="n"/>
      <c r="H274" s="3" t="n"/>
      <c r="I274" s="3" t="n"/>
      <c r="J274" s="4">
        <f>IF(AND(H274&lt;&gt;"",I274&lt;&gt;""),(I274-H274)*24,"")</f>
        <v/>
      </c>
      <c r="M274">
        <f>IF(C274&lt;&gt;"",C274,M273)</f>
        <v/>
      </c>
      <c r="N274">
        <f>IF(D274&lt;&gt;"",D274,N273)</f>
        <v/>
      </c>
      <c r="O274">
        <f>M274&amp;": "&amp;N274</f>
        <v/>
      </c>
      <c r="P274">
        <f>IF(O274="","",IF(COUNTIF($O$1:O273,O274)=0,MAX($P$1:P273)+1,""))</f>
        <v/>
      </c>
      <c r="Q274">
        <f>IF(A274="","",COUNTIF($A$2:A274,A274))</f>
        <v/>
      </c>
      <c r="R274">
        <f>IF(A274="","",MAX($R$1:R273)+1)</f>
        <v/>
      </c>
    </row>
    <row r="275">
      <c r="A275" s="2" t="n"/>
      <c r="H275" s="3" t="n"/>
      <c r="I275" s="3" t="n"/>
      <c r="J275" s="4">
        <f>IF(AND(H275&lt;&gt;"",I275&lt;&gt;""),(I275-H275)*24,"")</f>
        <v/>
      </c>
      <c r="M275">
        <f>IF(C275&lt;&gt;"",C275,M274)</f>
        <v/>
      </c>
      <c r="N275">
        <f>IF(D275&lt;&gt;"",D275,N274)</f>
        <v/>
      </c>
      <c r="O275">
        <f>M275&amp;": "&amp;N275</f>
        <v/>
      </c>
      <c r="P275">
        <f>IF(O275="","",IF(COUNTIF($O$1:O274,O275)=0,MAX($P$1:P274)+1,""))</f>
        <v/>
      </c>
      <c r="Q275">
        <f>IF(A275="","",COUNTIF($A$2:A275,A275))</f>
        <v/>
      </c>
      <c r="R275">
        <f>IF(A275="","",MAX($R$1:R274)+1)</f>
        <v/>
      </c>
    </row>
    <row r="276">
      <c r="A276" s="2" t="n"/>
      <c r="H276" s="3" t="n"/>
      <c r="I276" s="3" t="n"/>
      <c r="J276" s="4">
        <f>IF(AND(H276&lt;&gt;"",I276&lt;&gt;""),(I276-H276)*24,"")</f>
        <v/>
      </c>
      <c r="M276">
        <f>IF(C276&lt;&gt;"",C276,M275)</f>
        <v/>
      </c>
      <c r="N276">
        <f>IF(D276&lt;&gt;"",D276,N275)</f>
        <v/>
      </c>
      <c r="O276">
        <f>M276&amp;": "&amp;N276</f>
        <v/>
      </c>
      <c r="P276">
        <f>IF(O276="","",IF(COUNTIF($O$1:O275,O276)=0,MAX($P$1:P275)+1,""))</f>
        <v/>
      </c>
      <c r="Q276">
        <f>IF(A276="","",COUNTIF($A$2:A276,A276))</f>
        <v/>
      </c>
      <c r="R276">
        <f>IF(A276="","",MAX($R$1:R275)+1)</f>
        <v/>
      </c>
    </row>
    <row r="277">
      <c r="A277" s="2" t="n"/>
      <c r="H277" s="3" t="n"/>
      <c r="I277" s="3" t="n"/>
      <c r="J277" s="4">
        <f>IF(AND(H277&lt;&gt;"",I277&lt;&gt;""),(I277-H277)*24,"")</f>
        <v/>
      </c>
      <c r="M277">
        <f>IF(C277&lt;&gt;"",C277,M276)</f>
        <v/>
      </c>
      <c r="N277">
        <f>IF(D277&lt;&gt;"",D277,N276)</f>
        <v/>
      </c>
      <c r="O277">
        <f>M277&amp;": "&amp;N277</f>
        <v/>
      </c>
      <c r="P277">
        <f>IF(O277="","",IF(COUNTIF($O$1:O276,O277)=0,MAX($P$1:P276)+1,""))</f>
        <v/>
      </c>
      <c r="Q277">
        <f>IF(A277="","",COUNTIF($A$2:A277,A277))</f>
        <v/>
      </c>
      <c r="R277">
        <f>IF(A277="","",MAX($R$1:R276)+1)</f>
        <v/>
      </c>
    </row>
    <row r="278">
      <c r="A278" s="2" t="n"/>
      <c r="H278" s="3" t="n"/>
      <c r="I278" s="3" t="n"/>
      <c r="J278" s="4">
        <f>IF(AND(H278&lt;&gt;"",I278&lt;&gt;""),(I278-H278)*24,"")</f>
        <v/>
      </c>
      <c r="M278">
        <f>IF(C278&lt;&gt;"",C278,M277)</f>
        <v/>
      </c>
      <c r="N278">
        <f>IF(D278&lt;&gt;"",D278,N277)</f>
        <v/>
      </c>
      <c r="O278">
        <f>M278&amp;": "&amp;N278</f>
        <v/>
      </c>
      <c r="P278">
        <f>IF(O278="","",IF(COUNTIF($O$1:O277,O278)=0,MAX($P$1:P277)+1,""))</f>
        <v/>
      </c>
      <c r="Q278">
        <f>IF(A278="","",COUNTIF($A$2:A278,A278))</f>
        <v/>
      </c>
      <c r="R278">
        <f>IF(A278="","",MAX($R$1:R277)+1)</f>
        <v/>
      </c>
    </row>
    <row r="279">
      <c r="A279" s="2" t="n"/>
      <c r="H279" s="3" t="n"/>
      <c r="I279" s="3" t="n"/>
      <c r="J279" s="4">
        <f>IF(AND(H279&lt;&gt;"",I279&lt;&gt;""),(I279-H279)*24,"")</f>
        <v/>
      </c>
      <c r="M279">
        <f>IF(C279&lt;&gt;"",C279,M278)</f>
        <v/>
      </c>
      <c r="N279">
        <f>IF(D279&lt;&gt;"",D279,N278)</f>
        <v/>
      </c>
      <c r="O279">
        <f>M279&amp;": "&amp;N279</f>
        <v/>
      </c>
      <c r="P279">
        <f>IF(O279="","",IF(COUNTIF($O$1:O278,O279)=0,MAX($P$1:P278)+1,""))</f>
        <v/>
      </c>
      <c r="Q279">
        <f>IF(A279="","",COUNTIF($A$2:A279,A279))</f>
        <v/>
      </c>
      <c r="R279">
        <f>IF(A279="","",MAX($R$1:R278)+1)</f>
        <v/>
      </c>
    </row>
    <row r="280">
      <c r="A280" s="2" t="n"/>
      <c r="H280" s="3" t="n"/>
      <c r="I280" s="3" t="n"/>
      <c r="J280" s="4">
        <f>IF(AND(H280&lt;&gt;"",I280&lt;&gt;""),(I280-H280)*24,"")</f>
        <v/>
      </c>
      <c r="M280">
        <f>IF(C280&lt;&gt;"",C280,M279)</f>
        <v/>
      </c>
      <c r="N280">
        <f>IF(D280&lt;&gt;"",D280,N279)</f>
        <v/>
      </c>
      <c r="O280">
        <f>M280&amp;": "&amp;N280</f>
        <v/>
      </c>
      <c r="P280">
        <f>IF(O280="","",IF(COUNTIF($O$1:O279,O280)=0,MAX($P$1:P279)+1,""))</f>
        <v/>
      </c>
      <c r="Q280">
        <f>IF(A280="","",COUNTIF($A$2:A280,A280))</f>
        <v/>
      </c>
      <c r="R280">
        <f>IF(A280="","",MAX($R$1:R279)+1)</f>
        <v/>
      </c>
    </row>
    <row r="281">
      <c r="A281" s="2" t="n"/>
      <c r="H281" s="3" t="n"/>
      <c r="I281" s="3" t="n"/>
      <c r="J281" s="4">
        <f>IF(AND(H281&lt;&gt;"",I281&lt;&gt;""),(I281-H281)*24,"")</f>
        <v/>
      </c>
      <c r="M281">
        <f>IF(C281&lt;&gt;"",C281,M280)</f>
        <v/>
      </c>
      <c r="N281">
        <f>IF(D281&lt;&gt;"",D281,N280)</f>
        <v/>
      </c>
      <c r="O281">
        <f>M281&amp;": "&amp;N281</f>
        <v/>
      </c>
      <c r="P281">
        <f>IF(O281="","",IF(COUNTIF($O$1:O280,O281)=0,MAX($P$1:P280)+1,""))</f>
        <v/>
      </c>
      <c r="Q281">
        <f>IF(A281="","",COUNTIF($A$2:A281,A281))</f>
        <v/>
      </c>
      <c r="R281">
        <f>IF(A281="","",MAX($R$1:R280)+1)</f>
        <v/>
      </c>
    </row>
    <row r="282">
      <c r="A282" s="2" t="n"/>
      <c r="H282" s="3" t="n"/>
      <c r="I282" s="3" t="n"/>
      <c r="J282" s="4">
        <f>IF(AND(H282&lt;&gt;"",I282&lt;&gt;""),(I282-H282)*24,"")</f>
        <v/>
      </c>
      <c r="M282">
        <f>IF(C282&lt;&gt;"",C282,M281)</f>
        <v/>
      </c>
      <c r="N282">
        <f>IF(D282&lt;&gt;"",D282,N281)</f>
        <v/>
      </c>
      <c r="O282">
        <f>M282&amp;": "&amp;N282</f>
        <v/>
      </c>
      <c r="P282">
        <f>IF(O282="","",IF(COUNTIF($O$1:O281,O282)=0,MAX($P$1:P281)+1,""))</f>
        <v/>
      </c>
      <c r="Q282">
        <f>IF(A282="","",COUNTIF($A$2:A282,A282))</f>
        <v/>
      </c>
      <c r="R282">
        <f>IF(A282="","",MAX($R$1:R281)+1)</f>
        <v/>
      </c>
    </row>
    <row r="283">
      <c r="A283" s="2" t="n"/>
      <c r="H283" s="3" t="n"/>
      <c r="I283" s="3" t="n"/>
      <c r="J283" s="4">
        <f>IF(AND(H283&lt;&gt;"",I283&lt;&gt;""),(I283-H283)*24,"")</f>
        <v/>
      </c>
      <c r="M283">
        <f>IF(C283&lt;&gt;"",C283,M282)</f>
        <v/>
      </c>
      <c r="N283">
        <f>IF(D283&lt;&gt;"",D283,N282)</f>
        <v/>
      </c>
      <c r="O283">
        <f>M283&amp;": "&amp;N283</f>
        <v/>
      </c>
      <c r="P283">
        <f>IF(O283="","",IF(COUNTIF($O$1:O282,O283)=0,MAX($P$1:P282)+1,""))</f>
        <v/>
      </c>
      <c r="Q283">
        <f>IF(A283="","",COUNTIF($A$2:A283,A283))</f>
        <v/>
      </c>
      <c r="R283">
        <f>IF(A283="","",MAX($R$1:R282)+1)</f>
        <v/>
      </c>
    </row>
    <row r="284">
      <c r="A284" s="2" t="n"/>
      <c r="H284" s="3" t="n"/>
      <c r="I284" s="3" t="n"/>
      <c r="J284" s="4">
        <f>IF(AND(H284&lt;&gt;"",I284&lt;&gt;""),(I284-H284)*24,"")</f>
        <v/>
      </c>
      <c r="M284">
        <f>IF(C284&lt;&gt;"",C284,M283)</f>
        <v/>
      </c>
      <c r="N284">
        <f>IF(D284&lt;&gt;"",D284,N283)</f>
        <v/>
      </c>
      <c r="O284">
        <f>M284&amp;": "&amp;N284</f>
        <v/>
      </c>
      <c r="P284">
        <f>IF(O284="","",IF(COUNTIF($O$1:O283,O284)=0,MAX($P$1:P283)+1,""))</f>
        <v/>
      </c>
      <c r="Q284">
        <f>IF(A284="","",COUNTIF($A$2:A284,A284))</f>
        <v/>
      </c>
      <c r="R284">
        <f>IF(A284="","",MAX($R$1:R283)+1)</f>
        <v/>
      </c>
    </row>
    <row r="285">
      <c r="A285" s="2" t="n"/>
      <c r="H285" s="3" t="n"/>
      <c r="I285" s="3" t="n"/>
      <c r="J285" s="4">
        <f>IF(AND(H285&lt;&gt;"",I285&lt;&gt;""),(I285-H285)*24,"")</f>
        <v/>
      </c>
      <c r="M285">
        <f>IF(C285&lt;&gt;"",C285,M284)</f>
        <v/>
      </c>
      <c r="N285">
        <f>IF(D285&lt;&gt;"",D285,N284)</f>
        <v/>
      </c>
      <c r="O285">
        <f>M285&amp;": "&amp;N285</f>
        <v/>
      </c>
      <c r="P285">
        <f>IF(O285="","",IF(COUNTIF($O$1:O284,O285)=0,MAX($P$1:P284)+1,""))</f>
        <v/>
      </c>
      <c r="Q285">
        <f>IF(A285="","",COUNTIF($A$2:A285,A285))</f>
        <v/>
      </c>
      <c r="R285">
        <f>IF(A285="","",MAX($R$1:R284)+1)</f>
        <v/>
      </c>
    </row>
    <row r="286">
      <c r="A286" s="2" t="n"/>
      <c r="H286" s="3" t="n"/>
      <c r="I286" s="3" t="n"/>
      <c r="J286" s="4">
        <f>IF(AND(H286&lt;&gt;"",I286&lt;&gt;""),(I286-H286)*24,"")</f>
        <v/>
      </c>
      <c r="M286">
        <f>IF(C286&lt;&gt;"",C286,M285)</f>
        <v/>
      </c>
      <c r="N286">
        <f>IF(D286&lt;&gt;"",D286,N285)</f>
        <v/>
      </c>
      <c r="O286">
        <f>M286&amp;": "&amp;N286</f>
        <v/>
      </c>
      <c r="P286">
        <f>IF(O286="","",IF(COUNTIF($O$1:O285,O286)=0,MAX($P$1:P285)+1,""))</f>
        <v/>
      </c>
      <c r="Q286">
        <f>IF(A286="","",COUNTIF($A$2:A286,A286))</f>
        <v/>
      </c>
      <c r="R286">
        <f>IF(A286="","",MAX($R$1:R285)+1)</f>
        <v/>
      </c>
    </row>
    <row r="287">
      <c r="A287" s="2" t="n"/>
      <c r="H287" s="3" t="n"/>
      <c r="I287" s="3" t="n"/>
      <c r="J287" s="4">
        <f>IF(AND(H287&lt;&gt;"",I287&lt;&gt;""),(I287-H287)*24,"")</f>
        <v/>
      </c>
      <c r="M287">
        <f>IF(C287&lt;&gt;"",C287,M286)</f>
        <v/>
      </c>
      <c r="N287">
        <f>IF(D287&lt;&gt;"",D287,N286)</f>
        <v/>
      </c>
      <c r="O287">
        <f>M287&amp;": "&amp;N287</f>
        <v/>
      </c>
      <c r="P287">
        <f>IF(O287="","",IF(COUNTIF($O$1:O286,O287)=0,MAX($P$1:P286)+1,""))</f>
        <v/>
      </c>
      <c r="Q287">
        <f>IF(A287="","",COUNTIF($A$2:A287,A287))</f>
        <v/>
      </c>
      <c r="R287">
        <f>IF(A287="","",MAX($R$1:R286)+1)</f>
        <v/>
      </c>
    </row>
    <row r="288">
      <c r="A288" s="2" t="n"/>
      <c r="H288" s="3" t="n"/>
      <c r="I288" s="3" t="n"/>
      <c r="J288" s="4">
        <f>IF(AND(H288&lt;&gt;"",I288&lt;&gt;""),(I288-H288)*24,"")</f>
        <v/>
      </c>
      <c r="M288">
        <f>IF(C288&lt;&gt;"",C288,M287)</f>
        <v/>
      </c>
      <c r="N288">
        <f>IF(D288&lt;&gt;"",D288,N287)</f>
        <v/>
      </c>
      <c r="O288">
        <f>M288&amp;": "&amp;N288</f>
        <v/>
      </c>
      <c r="P288">
        <f>IF(O288="","",IF(COUNTIF($O$1:O287,O288)=0,MAX($P$1:P287)+1,""))</f>
        <v/>
      </c>
      <c r="Q288">
        <f>IF(A288="","",COUNTIF($A$2:A288,A288))</f>
        <v/>
      </c>
      <c r="R288">
        <f>IF(A288="","",MAX($R$1:R287)+1)</f>
        <v/>
      </c>
    </row>
    <row r="289">
      <c r="A289" s="2" t="n"/>
      <c r="H289" s="3" t="n"/>
      <c r="I289" s="3" t="n"/>
      <c r="J289" s="4">
        <f>IF(AND(H289&lt;&gt;"",I289&lt;&gt;""),(I289-H289)*24,"")</f>
        <v/>
      </c>
      <c r="M289">
        <f>IF(C289&lt;&gt;"",C289,M288)</f>
        <v/>
      </c>
      <c r="N289">
        <f>IF(D289&lt;&gt;"",D289,N288)</f>
        <v/>
      </c>
      <c r="O289">
        <f>M289&amp;": "&amp;N289</f>
        <v/>
      </c>
      <c r="P289">
        <f>IF(O289="","",IF(COUNTIF($O$1:O288,O289)=0,MAX($P$1:P288)+1,""))</f>
        <v/>
      </c>
      <c r="Q289">
        <f>IF(A289="","",COUNTIF($A$2:A289,A289))</f>
        <v/>
      </c>
      <c r="R289">
        <f>IF(A289="","",MAX($R$1:R288)+1)</f>
        <v/>
      </c>
    </row>
    <row r="290">
      <c r="A290" s="2" t="n"/>
      <c r="H290" s="3" t="n"/>
      <c r="I290" s="3" t="n"/>
      <c r="J290" s="4">
        <f>IF(AND(H290&lt;&gt;"",I290&lt;&gt;""),(I290-H290)*24,"")</f>
        <v/>
      </c>
      <c r="M290">
        <f>IF(C290&lt;&gt;"",C290,M289)</f>
        <v/>
      </c>
      <c r="N290">
        <f>IF(D290&lt;&gt;"",D290,N289)</f>
        <v/>
      </c>
      <c r="O290">
        <f>M290&amp;": "&amp;N290</f>
        <v/>
      </c>
      <c r="P290">
        <f>IF(O290="","",IF(COUNTIF($O$1:O289,O290)=0,MAX($P$1:P289)+1,""))</f>
        <v/>
      </c>
      <c r="Q290">
        <f>IF(A290="","",COUNTIF($A$2:A290,A290))</f>
        <v/>
      </c>
      <c r="R290">
        <f>IF(A290="","",MAX($R$1:R289)+1)</f>
        <v/>
      </c>
    </row>
    <row r="291">
      <c r="A291" s="2" t="n"/>
      <c r="H291" s="3" t="n"/>
      <c r="I291" s="3" t="n"/>
      <c r="J291" s="4">
        <f>IF(AND(H291&lt;&gt;"",I291&lt;&gt;""),(I291-H291)*24,"")</f>
        <v/>
      </c>
      <c r="M291">
        <f>IF(C291&lt;&gt;"",C291,M290)</f>
        <v/>
      </c>
      <c r="N291">
        <f>IF(D291&lt;&gt;"",D291,N290)</f>
        <v/>
      </c>
      <c r="O291">
        <f>M291&amp;": "&amp;N291</f>
        <v/>
      </c>
      <c r="P291">
        <f>IF(O291="","",IF(COUNTIF($O$1:O290,O291)=0,MAX($P$1:P290)+1,""))</f>
        <v/>
      </c>
      <c r="Q291">
        <f>IF(A291="","",COUNTIF($A$2:A291,A291))</f>
        <v/>
      </c>
      <c r="R291">
        <f>IF(A291="","",MAX($R$1:R290)+1)</f>
        <v/>
      </c>
    </row>
    <row r="292">
      <c r="A292" s="2" t="n"/>
      <c r="H292" s="3" t="n"/>
      <c r="I292" s="3" t="n"/>
      <c r="J292" s="4">
        <f>IF(AND(H292&lt;&gt;"",I292&lt;&gt;""),(I292-H292)*24,"")</f>
        <v/>
      </c>
      <c r="M292">
        <f>IF(C292&lt;&gt;"",C292,M291)</f>
        <v/>
      </c>
      <c r="N292">
        <f>IF(D292&lt;&gt;"",D292,N291)</f>
        <v/>
      </c>
      <c r="O292">
        <f>M292&amp;": "&amp;N292</f>
        <v/>
      </c>
      <c r="P292">
        <f>IF(O292="","",IF(COUNTIF($O$1:O291,O292)=0,MAX($P$1:P291)+1,""))</f>
        <v/>
      </c>
      <c r="Q292">
        <f>IF(A292="","",COUNTIF($A$2:A292,A292))</f>
        <v/>
      </c>
      <c r="R292">
        <f>IF(A292="","",MAX($R$1:R291)+1)</f>
        <v/>
      </c>
    </row>
    <row r="293">
      <c r="A293" s="2" t="n"/>
      <c r="H293" s="3" t="n"/>
      <c r="I293" s="3" t="n"/>
      <c r="J293" s="4">
        <f>IF(AND(H293&lt;&gt;"",I293&lt;&gt;""),(I293-H293)*24,"")</f>
        <v/>
      </c>
      <c r="M293">
        <f>IF(C293&lt;&gt;"",C293,M292)</f>
        <v/>
      </c>
      <c r="N293">
        <f>IF(D293&lt;&gt;"",D293,N292)</f>
        <v/>
      </c>
      <c r="O293">
        <f>M293&amp;": "&amp;N293</f>
        <v/>
      </c>
      <c r="P293">
        <f>IF(O293="","",IF(COUNTIF($O$1:O292,O293)=0,MAX($P$1:P292)+1,""))</f>
        <v/>
      </c>
      <c r="Q293">
        <f>IF(A293="","",COUNTIF($A$2:A293,A293))</f>
        <v/>
      </c>
      <c r="R293">
        <f>IF(A293="","",MAX($R$1:R292)+1)</f>
        <v/>
      </c>
    </row>
    <row r="294">
      <c r="A294" s="2" t="n"/>
      <c r="H294" s="3" t="n"/>
      <c r="I294" s="3" t="n"/>
      <c r="J294" s="4">
        <f>IF(AND(H294&lt;&gt;"",I294&lt;&gt;""),(I294-H294)*24,"")</f>
        <v/>
      </c>
      <c r="M294">
        <f>IF(C294&lt;&gt;"",C294,M293)</f>
        <v/>
      </c>
      <c r="N294">
        <f>IF(D294&lt;&gt;"",D294,N293)</f>
        <v/>
      </c>
      <c r="O294">
        <f>M294&amp;": "&amp;N294</f>
        <v/>
      </c>
      <c r="P294">
        <f>IF(O294="","",IF(COUNTIF($O$1:O293,O294)=0,MAX($P$1:P293)+1,""))</f>
        <v/>
      </c>
      <c r="Q294">
        <f>IF(A294="","",COUNTIF($A$2:A294,A294))</f>
        <v/>
      </c>
      <c r="R294">
        <f>IF(A294="","",MAX($R$1:R293)+1)</f>
        <v/>
      </c>
    </row>
    <row r="295">
      <c r="A295" s="2" t="n"/>
      <c r="H295" s="3" t="n"/>
      <c r="I295" s="3" t="n"/>
      <c r="J295" s="4">
        <f>IF(AND(H295&lt;&gt;"",I295&lt;&gt;""),(I295-H295)*24,"")</f>
        <v/>
      </c>
      <c r="M295">
        <f>IF(C295&lt;&gt;"",C295,M294)</f>
        <v/>
      </c>
      <c r="N295">
        <f>IF(D295&lt;&gt;"",D295,N294)</f>
        <v/>
      </c>
      <c r="O295">
        <f>M295&amp;": "&amp;N295</f>
        <v/>
      </c>
      <c r="P295">
        <f>IF(O295="","",IF(COUNTIF($O$1:O294,O295)=0,MAX($P$1:P294)+1,""))</f>
        <v/>
      </c>
      <c r="Q295">
        <f>IF(A295="","",COUNTIF($A$2:A295,A295))</f>
        <v/>
      </c>
      <c r="R295">
        <f>IF(A295="","",MAX($R$1:R294)+1)</f>
        <v/>
      </c>
    </row>
    <row r="296">
      <c r="A296" s="2" t="n"/>
      <c r="H296" s="3" t="n"/>
      <c r="I296" s="3" t="n"/>
      <c r="J296" s="4">
        <f>IF(AND(H296&lt;&gt;"",I296&lt;&gt;""),(I296-H296)*24,"")</f>
        <v/>
      </c>
      <c r="M296">
        <f>IF(C296&lt;&gt;"",C296,M295)</f>
        <v/>
      </c>
      <c r="N296">
        <f>IF(D296&lt;&gt;"",D296,N295)</f>
        <v/>
      </c>
      <c r="O296">
        <f>M296&amp;": "&amp;N296</f>
        <v/>
      </c>
      <c r="P296">
        <f>IF(O296="","",IF(COUNTIF($O$1:O295,O296)=0,MAX($P$1:P295)+1,""))</f>
        <v/>
      </c>
      <c r="Q296">
        <f>IF(A296="","",COUNTIF($A$2:A296,A296))</f>
        <v/>
      </c>
      <c r="R296">
        <f>IF(A296="","",MAX($R$1:R295)+1)</f>
        <v/>
      </c>
    </row>
    <row r="297">
      <c r="A297" s="2" t="n"/>
      <c r="H297" s="3" t="n"/>
      <c r="I297" s="3" t="n"/>
      <c r="J297" s="4">
        <f>IF(AND(H297&lt;&gt;"",I297&lt;&gt;""),(I297-H297)*24,"")</f>
        <v/>
      </c>
      <c r="M297">
        <f>IF(C297&lt;&gt;"",C297,M296)</f>
        <v/>
      </c>
      <c r="N297">
        <f>IF(D297&lt;&gt;"",D297,N296)</f>
        <v/>
      </c>
      <c r="O297">
        <f>M297&amp;": "&amp;N297</f>
        <v/>
      </c>
      <c r="P297">
        <f>IF(O297="","",IF(COUNTIF($O$1:O296,O297)=0,MAX($P$1:P296)+1,""))</f>
        <v/>
      </c>
      <c r="Q297">
        <f>IF(A297="","",COUNTIF($A$2:A297,A297))</f>
        <v/>
      </c>
      <c r="R297">
        <f>IF(A297="","",MAX($R$1:R296)+1)</f>
        <v/>
      </c>
    </row>
    <row r="298">
      <c r="A298" s="2" t="n"/>
      <c r="H298" s="3" t="n"/>
      <c r="I298" s="3" t="n"/>
      <c r="J298" s="4">
        <f>IF(AND(H298&lt;&gt;"",I298&lt;&gt;""),(I298-H298)*24,"")</f>
        <v/>
      </c>
      <c r="M298">
        <f>IF(C298&lt;&gt;"",C298,M297)</f>
        <v/>
      </c>
      <c r="N298">
        <f>IF(D298&lt;&gt;"",D298,N297)</f>
        <v/>
      </c>
      <c r="O298">
        <f>M298&amp;": "&amp;N298</f>
        <v/>
      </c>
      <c r="P298">
        <f>IF(O298="","",IF(COUNTIF($O$1:O297,O298)=0,MAX($P$1:P297)+1,""))</f>
        <v/>
      </c>
      <c r="Q298">
        <f>IF(A298="","",COUNTIF($A$2:A298,A298))</f>
        <v/>
      </c>
      <c r="R298">
        <f>IF(A298="","",MAX($R$1:R297)+1)</f>
        <v/>
      </c>
    </row>
    <row r="299">
      <c r="A299" s="2" t="n"/>
      <c r="H299" s="3" t="n"/>
      <c r="I299" s="3" t="n"/>
      <c r="J299" s="4">
        <f>IF(AND(H299&lt;&gt;"",I299&lt;&gt;""),(I299-H299)*24,"")</f>
        <v/>
      </c>
      <c r="M299">
        <f>IF(C299&lt;&gt;"",C299,M298)</f>
        <v/>
      </c>
      <c r="N299">
        <f>IF(D299&lt;&gt;"",D299,N298)</f>
        <v/>
      </c>
      <c r="O299">
        <f>M299&amp;": "&amp;N299</f>
        <v/>
      </c>
      <c r="P299">
        <f>IF(O299="","",IF(COUNTIF($O$1:O298,O299)=0,MAX($P$1:P298)+1,""))</f>
        <v/>
      </c>
      <c r="Q299">
        <f>IF(A299="","",COUNTIF($A$2:A299,A299))</f>
        <v/>
      </c>
      <c r="R299">
        <f>IF(A299="","",MAX($R$1:R298)+1)</f>
        <v/>
      </c>
    </row>
    <row r="300">
      <c r="A300" s="2" t="n"/>
      <c r="H300" s="3" t="n"/>
      <c r="I300" s="3" t="n"/>
      <c r="J300" s="4">
        <f>IF(AND(H300&lt;&gt;"",I300&lt;&gt;""),(I300-H300)*24,"")</f>
        <v/>
      </c>
      <c r="M300">
        <f>IF(C300&lt;&gt;"",C300,M299)</f>
        <v/>
      </c>
      <c r="N300">
        <f>IF(D300&lt;&gt;"",D300,N299)</f>
        <v/>
      </c>
      <c r="O300">
        <f>M300&amp;": "&amp;N300</f>
        <v/>
      </c>
      <c r="P300">
        <f>IF(O300="","",IF(COUNTIF($O$1:O299,O300)=0,MAX($P$1:P299)+1,""))</f>
        <v/>
      </c>
      <c r="Q300">
        <f>IF(A300="","",COUNTIF($A$2:A300,A300))</f>
        <v/>
      </c>
      <c r="R300">
        <f>IF(A300="","",MAX($R$1:R299)+1)</f>
        <v/>
      </c>
    </row>
    <row r="301">
      <c r="A301" s="2" t="n"/>
      <c r="H301" s="3" t="n"/>
      <c r="I301" s="3" t="n"/>
      <c r="J301" s="4">
        <f>IF(AND(H301&lt;&gt;"",I301&lt;&gt;""),(I301-H301)*24,"")</f>
        <v/>
      </c>
      <c r="M301">
        <f>IF(C301&lt;&gt;"",C301,M300)</f>
        <v/>
      </c>
      <c r="N301">
        <f>IF(D301&lt;&gt;"",D301,N300)</f>
        <v/>
      </c>
      <c r="O301">
        <f>M301&amp;": "&amp;N301</f>
        <v/>
      </c>
      <c r="P301">
        <f>IF(O301="","",IF(COUNTIF($O$1:O300,O301)=0,MAX($P$1:P300)+1,""))</f>
        <v/>
      </c>
      <c r="Q301">
        <f>IF(A301="","",COUNTIF($A$2:A301,A301))</f>
        <v/>
      </c>
      <c r="R301">
        <f>IF(A301="","",MAX($R$1:R300)+1)</f>
        <v/>
      </c>
    </row>
    <row r="302">
      <c r="A302" s="2" t="n"/>
      <c r="H302" s="3" t="n"/>
      <c r="I302" s="3" t="n"/>
      <c r="J302" s="4">
        <f>IF(AND(H302&lt;&gt;"",I302&lt;&gt;""),(I302-H302)*24,"")</f>
        <v/>
      </c>
      <c r="M302">
        <f>IF(C302&lt;&gt;"",C302,M301)</f>
        <v/>
      </c>
      <c r="N302">
        <f>IF(D302&lt;&gt;"",D302,N301)</f>
        <v/>
      </c>
      <c r="O302">
        <f>M302&amp;": "&amp;N302</f>
        <v/>
      </c>
      <c r="P302">
        <f>IF(O302="","",IF(COUNTIF($O$1:O301,O302)=0,MAX($P$1:P301)+1,""))</f>
        <v/>
      </c>
      <c r="Q302">
        <f>IF(A302="","",COUNTIF($A$2:A302,A302))</f>
        <v/>
      </c>
      <c r="R302">
        <f>IF(A302="","",MAX($R$1:R301)+1)</f>
        <v/>
      </c>
    </row>
    <row r="303">
      <c r="A303" s="2" t="n"/>
      <c r="H303" s="3" t="n"/>
      <c r="I303" s="3" t="n"/>
      <c r="J303" s="4">
        <f>IF(AND(H303&lt;&gt;"",I303&lt;&gt;""),(I303-H303)*24,"")</f>
        <v/>
      </c>
      <c r="M303">
        <f>IF(C303&lt;&gt;"",C303,M302)</f>
        <v/>
      </c>
      <c r="N303">
        <f>IF(D303&lt;&gt;"",D303,N302)</f>
        <v/>
      </c>
      <c r="O303">
        <f>M303&amp;": "&amp;N303</f>
        <v/>
      </c>
      <c r="P303">
        <f>IF(O303="","",IF(COUNTIF($O$1:O302,O303)=0,MAX($P$1:P302)+1,""))</f>
        <v/>
      </c>
      <c r="Q303">
        <f>IF(A303="","",COUNTIF($A$2:A303,A303))</f>
        <v/>
      </c>
      <c r="R303">
        <f>IF(A303="","",MAX($R$1:R302)+1)</f>
        <v/>
      </c>
    </row>
    <row r="304">
      <c r="A304" s="2" t="n"/>
      <c r="H304" s="3" t="n"/>
      <c r="I304" s="3" t="n"/>
      <c r="J304" s="4">
        <f>IF(AND(H304&lt;&gt;"",I304&lt;&gt;""),(I304-H304)*24,"")</f>
        <v/>
      </c>
      <c r="M304">
        <f>IF(C304&lt;&gt;"",C304,M303)</f>
        <v/>
      </c>
      <c r="N304">
        <f>IF(D304&lt;&gt;"",D304,N303)</f>
        <v/>
      </c>
      <c r="O304">
        <f>M304&amp;": "&amp;N304</f>
        <v/>
      </c>
      <c r="P304">
        <f>IF(O304="","",IF(COUNTIF($O$1:O303,O304)=0,MAX($P$1:P303)+1,""))</f>
        <v/>
      </c>
      <c r="Q304">
        <f>IF(A304="","",COUNTIF($A$2:A304,A304))</f>
        <v/>
      </c>
      <c r="R304">
        <f>IF(A304="","",MAX($R$1:R303)+1)</f>
        <v/>
      </c>
    </row>
    <row r="305">
      <c r="A305" s="2" t="n"/>
      <c r="H305" s="3" t="n"/>
      <c r="I305" s="3" t="n"/>
      <c r="J305" s="4">
        <f>IF(AND(H305&lt;&gt;"",I305&lt;&gt;""),(I305-H305)*24,"")</f>
        <v/>
      </c>
      <c r="M305">
        <f>IF(C305&lt;&gt;"",C305,M304)</f>
        <v/>
      </c>
      <c r="N305">
        <f>IF(D305&lt;&gt;"",D305,N304)</f>
        <v/>
      </c>
      <c r="O305">
        <f>M305&amp;": "&amp;N305</f>
        <v/>
      </c>
      <c r="P305">
        <f>IF(O305="","",IF(COUNTIF($O$1:O304,O305)=0,MAX($P$1:P304)+1,""))</f>
        <v/>
      </c>
      <c r="Q305">
        <f>IF(A305="","",COUNTIF($A$2:A305,A305))</f>
        <v/>
      </c>
      <c r="R305">
        <f>IF(A305="","",MAX($R$1:R304)+1)</f>
        <v/>
      </c>
    </row>
    <row r="306">
      <c r="A306" s="2" t="n"/>
      <c r="H306" s="3" t="n"/>
      <c r="I306" s="3" t="n"/>
      <c r="J306" s="4">
        <f>IF(AND(H306&lt;&gt;"",I306&lt;&gt;""),(I306-H306)*24,"")</f>
        <v/>
      </c>
      <c r="M306">
        <f>IF(C306&lt;&gt;"",C306,M305)</f>
        <v/>
      </c>
      <c r="N306">
        <f>IF(D306&lt;&gt;"",D306,N305)</f>
        <v/>
      </c>
      <c r="O306">
        <f>M306&amp;": "&amp;N306</f>
        <v/>
      </c>
      <c r="P306">
        <f>IF(O306="","",IF(COUNTIF($O$1:O305,O306)=0,MAX($P$1:P305)+1,""))</f>
        <v/>
      </c>
      <c r="Q306">
        <f>IF(A306="","",COUNTIF($A$2:A306,A306))</f>
        <v/>
      </c>
      <c r="R306">
        <f>IF(A306="","",MAX($R$1:R305)+1)</f>
        <v/>
      </c>
    </row>
    <row r="307">
      <c r="A307" s="2" t="n"/>
      <c r="H307" s="3" t="n"/>
      <c r="I307" s="3" t="n"/>
      <c r="J307" s="4">
        <f>IF(AND(H307&lt;&gt;"",I307&lt;&gt;""),(I307-H307)*24,"")</f>
        <v/>
      </c>
      <c r="M307">
        <f>IF(C307&lt;&gt;"",C307,M306)</f>
        <v/>
      </c>
      <c r="N307">
        <f>IF(D307&lt;&gt;"",D307,N306)</f>
        <v/>
      </c>
      <c r="O307">
        <f>M307&amp;": "&amp;N307</f>
        <v/>
      </c>
      <c r="P307">
        <f>IF(O307="","",IF(COUNTIF($O$1:O306,O307)=0,MAX($P$1:P306)+1,""))</f>
        <v/>
      </c>
      <c r="Q307">
        <f>IF(A307="","",COUNTIF($A$2:A307,A307))</f>
        <v/>
      </c>
      <c r="R307">
        <f>IF(A307="","",MAX($R$1:R306)+1)</f>
        <v/>
      </c>
    </row>
    <row r="308">
      <c r="A308" s="2" t="n"/>
      <c r="H308" s="3" t="n"/>
      <c r="I308" s="3" t="n"/>
      <c r="J308" s="4">
        <f>IF(AND(H308&lt;&gt;"",I308&lt;&gt;""),(I308-H308)*24,"")</f>
        <v/>
      </c>
      <c r="M308">
        <f>IF(C308&lt;&gt;"",C308,M307)</f>
        <v/>
      </c>
      <c r="N308">
        <f>IF(D308&lt;&gt;"",D308,N307)</f>
        <v/>
      </c>
      <c r="O308">
        <f>M308&amp;": "&amp;N308</f>
        <v/>
      </c>
      <c r="P308">
        <f>IF(O308="","",IF(COUNTIF($O$1:O307,O308)=0,MAX($P$1:P307)+1,""))</f>
        <v/>
      </c>
      <c r="Q308">
        <f>IF(A308="","",COUNTIF($A$2:A308,A308))</f>
        <v/>
      </c>
      <c r="R308">
        <f>IF(A308="","",MAX($R$1:R307)+1)</f>
        <v/>
      </c>
    </row>
    <row r="309">
      <c r="A309" s="2" t="n"/>
      <c r="H309" s="3" t="n"/>
      <c r="I309" s="3" t="n"/>
      <c r="J309" s="4">
        <f>IF(AND(H309&lt;&gt;"",I309&lt;&gt;""),(I309-H309)*24,"")</f>
        <v/>
      </c>
      <c r="M309">
        <f>IF(C309&lt;&gt;"",C309,M308)</f>
        <v/>
      </c>
      <c r="N309">
        <f>IF(D309&lt;&gt;"",D309,N308)</f>
        <v/>
      </c>
      <c r="O309">
        <f>M309&amp;": "&amp;N309</f>
        <v/>
      </c>
      <c r="P309">
        <f>IF(O309="","",IF(COUNTIF($O$1:O308,O309)=0,MAX($P$1:P308)+1,""))</f>
        <v/>
      </c>
      <c r="Q309">
        <f>IF(A309="","",COUNTIF($A$2:A309,A309))</f>
        <v/>
      </c>
      <c r="R309">
        <f>IF(A309="","",MAX($R$1:R308)+1)</f>
        <v/>
      </c>
    </row>
    <row r="310">
      <c r="A310" s="2" t="n"/>
      <c r="H310" s="3" t="n"/>
      <c r="I310" s="3" t="n"/>
      <c r="J310" s="4">
        <f>IF(AND(H310&lt;&gt;"",I310&lt;&gt;""),(I310-H310)*24,"")</f>
        <v/>
      </c>
      <c r="M310">
        <f>IF(C310&lt;&gt;"",C310,M309)</f>
        <v/>
      </c>
      <c r="N310">
        <f>IF(D310&lt;&gt;"",D310,N309)</f>
        <v/>
      </c>
      <c r="O310">
        <f>M310&amp;": "&amp;N310</f>
        <v/>
      </c>
      <c r="P310">
        <f>IF(O310="","",IF(COUNTIF($O$1:O309,O310)=0,MAX($P$1:P309)+1,""))</f>
        <v/>
      </c>
      <c r="Q310">
        <f>IF(A310="","",COUNTIF($A$2:A310,A310))</f>
        <v/>
      </c>
      <c r="R310">
        <f>IF(A310="","",MAX($R$1:R309)+1)</f>
        <v/>
      </c>
    </row>
    <row r="311">
      <c r="A311" s="2" t="n"/>
      <c r="H311" s="3" t="n"/>
      <c r="I311" s="3" t="n"/>
      <c r="J311" s="4">
        <f>IF(AND(H311&lt;&gt;"",I311&lt;&gt;""),(I311-H311)*24,"")</f>
        <v/>
      </c>
      <c r="M311">
        <f>IF(C311&lt;&gt;"",C311,M310)</f>
        <v/>
      </c>
      <c r="N311">
        <f>IF(D311&lt;&gt;"",D311,N310)</f>
        <v/>
      </c>
      <c r="O311">
        <f>M311&amp;": "&amp;N311</f>
        <v/>
      </c>
      <c r="P311">
        <f>IF(O311="","",IF(COUNTIF($O$1:O310,O311)=0,MAX($P$1:P310)+1,""))</f>
        <v/>
      </c>
      <c r="Q311">
        <f>IF(A311="","",COUNTIF($A$2:A311,A311))</f>
        <v/>
      </c>
      <c r="R311">
        <f>IF(A311="","",MAX($R$1:R310)+1)</f>
        <v/>
      </c>
    </row>
    <row r="312">
      <c r="A312" s="2" t="n"/>
      <c r="H312" s="3" t="n"/>
      <c r="I312" s="3" t="n"/>
      <c r="J312" s="4">
        <f>IF(AND(H312&lt;&gt;"",I312&lt;&gt;""),(I312-H312)*24,"")</f>
        <v/>
      </c>
      <c r="M312">
        <f>IF(C312&lt;&gt;"",C312,M311)</f>
        <v/>
      </c>
      <c r="N312">
        <f>IF(D312&lt;&gt;"",D312,N311)</f>
        <v/>
      </c>
      <c r="O312">
        <f>M312&amp;": "&amp;N312</f>
        <v/>
      </c>
      <c r="P312">
        <f>IF(O312="","",IF(COUNTIF($O$1:O311,O312)=0,MAX($P$1:P311)+1,""))</f>
        <v/>
      </c>
      <c r="Q312">
        <f>IF(A312="","",COUNTIF($A$2:A312,A312))</f>
        <v/>
      </c>
      <c r="R312">
        <f>IF(A312="","",MAX($R$1:R311)+1)</f>
        <v/>
      </c>
    </row>
    <row r="313">
      <c r="A313" s="2" t="n"/>
      <c r="H313" s="3" t="n"/>
      <c r="I313" s="3" t="n"/>
      <c r="J313" s="4">
        <f>IF(AND(H313&lt;&gt;"",I313&lt;&gt;""),(I313-H313)*24,"")</f>
        <v/>
      </c>
      <c r="M313">
        <f>IF(C313&lt;&gt;"",C313,M312)</f>
        <v/>
      </c>
      <c r="N313">
        <f>IF(D313&lt;&gt;"",D313,N312)</f>
        <v/>
      </c>
      <c r="O313">
        <f>M313&amp;": "&amp;N313</f>
        <v/>
      </c>
      <c r="P313">
        <f>IF(O313="","",IF(COUNTIF($O$1:O312,O313)=0,MAX($P$1:P312)+1,""))</f>
        <v/>
      </c>
      <c r="Q313">
        <f>IF(A313="","",COUNTIF($A$2:A313,A313))</f>
        <v/>
      </c>
      <c r="R313">
        <f>IF(A313="","",MAX($R$1:R312)+1)</f>
        <v/>
      </c>
    </row>
    <row r="314">
      <c r="A314" s="2" t="n"/>
      <c r="H314" s="3" t="n"/>
      <c r="I314" s="3" t="n"/>
      <c r="J314" s="4">
        <f>IF(AND(H314&lt;&gt;"",I314&lt;&gt;""),(I314-H314)*24,"")</f>
        <v/>
      </c>
      <c r="M314">
        <f>IF(C314&lt;&gt;"",C314,M313)</f>
        <v/>
      </c>
      <c r="N314">
        <f>IF(D314&lt;&gt;"",D314,N313)</f>
        <v/>
      </c>
      <c r="O314">
        <f>M314&amp;": "&amp;N314</f>
        <v/>
      </c>
      <c r="P314">
        <f>IF(O314="","",IF(COUNTIF($O$1:O313,O314)=0,MAX($P$1:P313)+1,""))</f>
        <v/>
      </c>
      <c r="Q314">
        <f>IF(A314="","",COUNTIF($A$2:A314,A314))</f>
        <v/>
      </c>
      <c r="R314">
        <f>IF(A314="","",MAX($R$1:R313)+1)</f>
        <v/>
      </c>
    </row>
    <row r="315">
      <c r="A315" s="2" t="n"/>
      <c r="H315" s="3" t="n"/>
      <c r="I315" s="3" t="n"/>
      <c r="J315" s="4">
        <f>IF(AND(H315&lt;&gt;"",I315&lt;&gt;""),(I315-H315)*24,"")</f>
        <v/>
      </c>
      <c r="M315">
        <f>IF(C315&lt;&gt;"",C315,M314)</f>
        <v/>
      </c>
      <c r="N315">
        <f>IF(D315&lt;&gt;"",D315,N314)</f>
        <v/>
      </c>
      <c r="O315">
        <f>M315&amp;": "&amp;N315</f>
        <v/>
      </c>
      <c r="P315">
        <f>IF(O315="","",IF(COUNTIF($O$1:O314,O315)=0,MAX($P$1:P314)+1,""))</f>
        <v/>
      </c>
      <c r="Q315">
        <f>IF(A315="","",COUNTIF($A$2:A315,A315))</f>
        <v/>
      </c>
      <c r="R315">
        <f>IF(A315="","",MAX($R$1:R314)+1)</f>
        <v/>
      </c>
    </row>
    <row r="316">
      <c r="A316" s="2" t="n"/>
      <c r="H316" s="3" t="n"/>
      <c r="I316" s="3" t="n"/>
      <c r="J316" s="4">
        <f>IF(AND(H316&lt;&gt;"",I316&lt;&gt;""),(I316-H316)*24,"")</f>
        <v/>
      </c>
      <c r="M316">
        <f>IF(C316&lt;&gt;"",C316,M315)</f>
        <v/>
      </c>
      <c r="N316">
        <f>IF(D316&lt;&gt;"",D316,N315)</f>
        <v/>
      </c>
      <c r="O316">
        <f>M316&amp;": "&amp;N316</f>
        <v/>
      </c>
      <c r="P316">
        <f>IF(O316="","",IF(COUNTIF($O$1:O315,O316)=0,MAX($P$1:P315)+1,""))</f>
        <v/>
      </c>
      <c r="Q316">
        <f>IF(A316="","",COUNTIF($A$2:A316,A316))</f>
        <v/>
      </c>
      <c r="R316">
        <f>IF(A316="","",MAX($R$1:R315)+1)</f>
        <v/>
      </c>
    </row>
    <row r="317">
      <c r="A317" s="2" t="n"/>
      <c r="H317" s="3" t="n"/>
      <c r="I317" s="3" t="n"/>
      <c r="J317" s="4">
        <f>IF(AND(H317&lt;&gt;"",I317&lt;&gt;""),(I317-H317)*24,"")</f>
        <v/>
      </c>
      <c r="M317">
        <f>IF(C317&lt;&gt;"",C317,M316)</f>
        <v/>
      </c>
      <c r="N317">
        <f>IF(D317&lt;&gt;"",D317,N316)</f>
        <v/>
      </c>
      <c r="O317">
        <f>M317&amp;": "&amp;N317</f>
        <v/>
      </c>
      <c r="P317">
        <f>IF(O317="","",IF(COUNTIF($O$1:O316,O317)=0,MAX($P$1:P316)+1,""))</f>
        <v/>
      </c>
      <c r="Q317">
        <f>IF(A317="","",COUNTIF($A$2:A317,A317))</f>
        <v/>
      </c>
      <c r="R317">
        <f>IF(A317="","",MAX($R$1:R316)+1)</f>
        <v/>
      </c>
    </row>
    <row r="318">
      <c r="A318" s="2" t="n"/>
      <c r="H318" s="3" t="n"/>
      <c r="I318" s="3" t="n"/>
      <c r="J318" s="4">
        <f>IF(AND(H318&lt;&gt;"",I318&lt;&gt;""),(I318-H318)*24,"")</f>
        <v/>
      </c>
      <c r="M318">
        <f>IF(C318&lt;&gt;"",C318,M317)</f>
        <v/>
      </c>
      <c r="N318">
        <f>IF(D318&lt;&gt;"",D318,N317)</f>
        <v/>
      </c>
      <c r="O318">
        <f>M318&amp;": "&amp;N318</f>
        <v/>
      </c>
      <c r="P318">
        <f>IF(O318="","",IF(COUNTIF($O$1:O317,O318)=0,MAX($P$1:P317)+1,""))</f>
        <v/>
      </c>
      <c r="Q318">
        <f>IF(A318="","",COUNTIF($A$2:A318,A318))</f>
        <v/>
      </c>
      <c r="R318">
        <f>IF(A318="","",MAX($R$1:R317)+1)</f>
        <v/>
      </c>
    </row>
    <row r="319">
      <c r="A319" s="2" t="n"/>
      <c r="H319" s="3" t="n"/>
      <c r="I319" s="3" t="n"/>
      <c r="J319" s="4">
        <f>IF(AND(H319&lt;&gt;"",I319&lt;&gt;""),(I319-H319)*24,"")</f>
        <v/>
      </c>
      <c r="M319">
        <f>IF(C319&lt;&gt;"",C319,M318)</f>
        <v/>
      </c>
      <c r="N319">
        <f>IF(D319&lt;&gt;"",D319,N318)</f>
        <v/>
      </c>
      <c r="O319">
        <f>M319&amp;": "&amp;N319</f>
        <v/>
      </c>
      <c r="P319">
        <f>IF(O319="","",IF(COUNTIF($O$1:O318,O319)=0,MAX($P$1:P318)+1,""))</f>
        <v/>
      </c>
      <c r="Q319">
        <f>IF(A319="","",COUNTIF($A$2:A319,A319))</f>
        <v/>
      </c>
      <c r="R319">
        <f>IF(A319="","",MAX($R$1:R318)+1)</f>
        <v/>
      </c>
    </row>
    <row r="320">
      <c r="A320" s="2" t="n"/>
      <c r="H320" s="3" t="n"/>
      <c r="I320" s="3" t="n"/>
      <c r="J320" s="4">
        <f>IF(AND(H320&lt;&gt;"",I320&lt;&gt;""),(I320-H320)*24,"")</f>
        <v/>
      </c>
      <c r="M320">
        <f>IF(C320&lt;&gt;"",C320,M319)</f>
        <v/>
      </c>
      <c r="N320">
        <f>IF(D320&lt;&gt;"",D320,N319)</f>
        <v/>
      </c>
      <c r="O320">
        <f>M320&amp;": "&amp;N320</f>
        <v/>
      </c>
      <c r="P320">
        <f>IF(O320="","",IF(COUNTIF($O$1:O319,O320)=0,MAX($P$1:P319)+1,""))</f>
        <v/>
      </c>
      <c r="Q320">
        <f>IF(A320="","",COUNTIF($A$2:A320,A320))</f>
        <v/>
      </c>
      <c r="R320">
        <f>IF(A320="","",MAX($R$1:R319)+1)</f>
        <v/>
      </c>
    </row>
    <row r="321">
      <c r="A321" s="2" t="n"/>
      <c r="H321" s="3" t="n"/>
      <c r="I321" s="3" t="n"/>
      <c r="J321" s="4">
        <f>IF(AND(H321&lt;&gt;"",I321&lt;&gt;""),(I321-H321)*24,"")</f>
        <v/>
      </c>
      <c r="M321">
        <f>IF(C321&lt;&gt;"",C321,M320)</f>
        <v/>
      </c>
      <c r="N321">
        <f>IF(D321&lt;&gt;"",D321,N320)</f>
        <v/>
      </c>
      <c r="O321">
        <f>M321&amp;": "&amp;N321</f>
        <v/>
      </c>
      <c r="P321">
        <f>IF(O321="","",IF(COUNTIF($O$1:O320,O321)=0,MAX($P$1:P320)+1,""))</f>
        <v/>
      </c>
      <c r="Q321">
        <f>IF(A321="","",COUNTIF($A$2:A321,A321))</f>
        <v/>
      </c>
      <c r="R321">
        <f>IF(A321="","",MAX($R$1:R320)+1)</f>
        <v/>
      </c>
    </row>
    <row r="322">
      <c r="A322" s="2" t="n"/>
      <c r="H322" s="3" t="n"/>
      <c r="I322" s="3" t="n"/>
      <c r="J322" s="4">
        <f>IF(AND(H322&lt;&gt;"",I322&lt;&gt;""),(I322-H322)*24,"")</f>
        <v/>
      </c>
      <c r="M322">
        <f>IF(C322&lt;&gt;"",C322,M321)</f>
        <v/>
      </c>
      <c r="N322">
        <f>IF(D322&lt;&gt;"",D322,N321)</f>
        <v/>
      </c>
      <c r="O322">
        <f>M322&amp;": "&amp;N322</f>
        <v/>
      </c>
      <c r="P322">
        <f>IF(O322="","",IF(COUNTIF($O$1:O321,O322)=0,MAX($P$1:P321)+1,""))</f>
        <v/>
      </c>
      <c r="Q322">
        <f>IF(A322="","",COUNTIF($A$2:A322,A322))</f>
        <v/>
      </c>
      <c r="R322">
        <f>IF(A322="","",MAX($R$1:R321)+1)</f>
        <v/>
      </c>
    </row>
    <row r="323">
      <c r="A323" s="2" t="n"/>
      <c r="H323" s="3" t="n"/>
      <c r="I323" s="3" t="n"/>
      <c r="J323" s="4">
        <f>IF(AND(H323&lt;&gt;"",I323&lt;&gt;""),(I323-H323)*24,"")</f>
        <v/>
      </c>
      <c r="M323">
        <f>IF(C323&lt;&gt;"",C323,M322)</f>
        <v/>
      </c>
      <c r="N323">
        <f>IF(D323&lt;&gt;"",D323,N322)</f>
        <v/>
      </c>
      <c r="O323">
        <f>M323&amp;": "&amp;N323</f>
        <v/>
      </c>
      <c r="P323">
        <f>IF(O323="","",IF(COUNTIF($O$1:O322,O323)=0,MAX($P$1:P322)+1,""))</f>
        <v/>
      </c>
      <c r="Q323">
        <f>IF(A323="","",COUNTIF($A$2:A323,A323))</f>
        <v/>
      </c>
      <c r="R323">
        <f>IF(A323="","",MAX($R$1:R322)+1)</f>
        <v/>
      </c>
    </row>
    <row r="324">
      <c r="A324" s="2" t="n"/>
      <c r="H324" s="3" t="n"/>
      <c r="I324" s="3" t="n"/>
      <c r="J324" s="4">
        <f>IF(AND(H324&lt;&gt;"",I324&lt;&gt;""),(I324-H324)*24,"")</f>
        <v/>
      </c>
      <c r="M324">
        <f>IF(C324&lt;&gt;"",C324,M323)</f>
        <v/>
      </c>
      <c r="N324">
        <f>IF(D324&lt;&gt;"",D324,N323)</f>
        <v/>
      </c>
      <c r="O324">
        <f>M324&amp;": "&amp;N324</f>
        <v/>
      </c>
      <c r="P324">
        <f>IF(O324="","",IF(COUNTIF($O$1:O323,O324)=0,MAX($P$1:P323)+1,""))</f>
        <v/>
      </c>
      <c r="Q324">
        <f>IF(A324="","",COUNTIF($A$2:A324,A324))</f>
        <v/>
      </c>
      <c r="R324">
        <f>IF(A324="","",MAX($R$1:R323)+1)</f>
        <v/>
      </c>
    </row>
    <row r="325">
      <c r="A325" s="2" t="n"/>
      <c r="H325" s="3" t="n"/>
      <c r="I325" s="3" t="n"/>
      <c r="J325" s="4">
        <f>IF(AND(H325&lt;&gt;"",I325&lt;&gt;""),(I325-H325)*24,"")</f>
        <v/>
      </c>
      <c r="M325">
        <f>IF(C325&lt;&gt;"",C325,M324)</f>
        <v/>
      </c>
      <c r="N325">
        <f>IF(D325&lt;&gt;"",D325,N324)</f>
        <v/>
      </c>
      <c r="O325">
        <f>M325&amp;": "&amp;N325</f>
        <v/>
      </c>
      <c r="P325">
        <f>IF(O325="","",IF(COUNTIF($O$1:O324,O325)=0,MAX($P$1:P324)+1,""))</f>
        <v/>
      </c>
      <c r="Q325">
        <f>IF(A325="","",COUNTIF($A$2:A325,A325))</f>
        <v/>
      </c>
      <c r="R325">
        <f>IF(A325="","",MAX($R$1:R324)+1)</f>
        <v/>
      </c>
    </row>
    <row r="326">
      <c r="A326" s="2" t="n"/>
      <c r="H326" s="3" t="n"/>
      <c r="I326" s="3" t="n"/>
      <c r="J326" s="4">
        <f>IF(AND(H326&lt;&gt;"",I326&lt;&gt;""),(I326-H326)*24,"")</f>
        <v/>
      </c>
      <c r="M326">
        <f>IF(C326&lt;&gt;"",C326,M325)</f>
        <v/>
      </c>
      <c r="N326">
        <f>IF(D326&lt;&gt;"",D326,N325)</f>
        <v/>
      </c>
      <c r="O326">
        <f>M326&amp;": "&amp;N326</f>
        <v/>
      </c>
      <c r="P326">
        <f>IF(O326="","",IF(COUNTIF($O$1:O325,O326)=0,MAX($P$1:P325)+1,""))</f>
        <v/>
      </c>
      <c r="Q326">
        <f>IF(A326="","",COUNTIF($A$2:A326,A326))</f>
        <v/>
      </c>
      <c r="R326">
        <f>IF(A326="","",MAX($R$1:R325)+1)</f>
        <v/>
      </c>
    </row>
    <row r="327">
      <c r="A327" s="2" t="n"/>
      <c r="H327" s="3" t="n"/>
      <c r="I327" s="3" t="n"/>
      <c r="J327" s="4">
        <f>IF(AND(H327&lt;&gt;"",I327&lt;&gt;""),(I327-H327)*24,"")</f>
        <v/>
      </c>
      <c r="M327">
        <f>IF(C327&lt;&gt;"",C327,M326)</f>
        <v/>
      </c>
      <c r="N327">
        <f>IF(D327&lt;&gt;"",D327,N326)</f>
        <v/>
      </c>
      <c r="O327">
        <f>M327&amp;": "&amp;N327</f>
        <v/>
      </c>
      <c r="P327">
        <f>IF(O327="","",IF(COUNTIF($O$1:O326,O327)=0,MAX($P$1:P326)+1,""))</f>
        <v/>
      </c>
      <c r="Q327">
        <f>IF(A327="","",COUNTIF($A$2:A327,A327))</f>
        <v/>
      </c>
      <c r="R327">
        <f>IF(A327="","",MAX($R$1:R326)+1)</f>
        <v/>
      </c>
    </row>
    <row r="328">
      <c r="A328" s="2" t="n"/>
      <c r="H328" s="3" t="n"/>
      <c r="I328" s="3" t="n"/>
      <c r="J328" s="4">
        <f>IF(AND(H328&lt;&gt;"",I328&lt;&gt;""),(I328-H328)*24,"")</f>
        <v/>
      </c>
      <c r="M328">
        <f>IF(C328&lt;&gt;"",C328,M327)</f>
        <v/>
      </c>
      <c r="N328">
        <f>IF(D328&lt;&gt;"",D328,N327)</f>
        <v/>
      </c>
      <c r="O328">
        <f>M328&amp;": "&amp;N328</f>
        <v/>
      </c>
      <c r="P328">
        <f>IF(O328="","",IF(COUNTIF($O$1:O327,O328)=0,MAX($P$1:P327)+1,""))</f>
        <v/>
      </c>
      <c r="Q328">
        <f>IF(A328="","",COUNTIF($A$2:A328,A328))</f>
        <v/>
      </c>
      <c r="R328">
        <f>IF(A328="","",MAX($R$1:R327)+1)</f>
        <v/>
      </c>
    </row>
    <row r="329">
      <c r="A329" s="2" t="n"/>
      <c r="H329" s="3" t="n"/>
      <c r="I329" s="3" t="n"/>
      <c r="J329" s="4">
        <f>IF(AND(H329&lt;&gt;"",I329&lt;&gt;""),(I329-H329)*24,"")</f>
        <v/>
      </c>
      <c r="M329">
        <f>IF(C329&lt;&gt;"",C329,M328)</f>
        <v/>
      </c>
      <c r="N329">
        <f>IF(D329&lt;&gt;"",D329,N328)</f>
        <v/>
      </c>
      <c r="O329">
        <f>M329&amp;": "&amp;N329</f>
        <v/>
      </c>
      <c r="P329">
        <f>IF(O329="","",IF(COUNTIF($O$1:O328,O329)=0,MAX($P$1:P328)+1,""))</f>
        <v/>
      </c>
      <c r="Q329">
        <f>IF(A329="","",COUNTIF($A$2:A329,A329))</f>
        <v/>
      </c>
      <c r="R329">
        <f>IF(A329="","",MAX($R$1:R328)+1)</f>
        <v/>
      </c>
    </row>
    <row r="330">
      <c r="A330" s="2" t="n"/>
      <c r="H330" s="3" t="n"/>
      <c r="I330" s="3" t="n"/>
      <c r="J330" s="4">
        <f>IF(AND(H330&lt;&gt;"",I330&lt;&gt;""),(I330-H330)*24,"")</f>
        <v/>
      </c>
      <c r="M330">
        <f>IF(C330&lt;&gt;"",C330,M329)</f>
        <v/>
      </c>
      <c r="N330">
        <f>IF(D330&lt;&gt;"",D330,N329)</f>
        <v/>
      </c>
      <c r="O330">
        <f>M330&amp;": "&amp;N330</f>
        <v/>
      </c>
      <c r="P330">
        <f>IF(O330="","",IF(COUNTIF($O$1:O329,O330)=0,MAX($P$1:P329)+1,""))</f>
        <v/>
      </c>
      <c r="Q330">
        <f>IF(A330="","",COUNTIF($A$2:A330,A330))</f>
        <v/>
      </c>
      <c r="R330">
        <f>IF(A330="","",MAX($R$1:R329)+1)</f>
        <v/>
      </c>
    </row>
    <row r="331">
      <c r="A331" s="2" t="n"/>
      <c r="H331" s="3" t="n"/>
      <c r="I331" s="3" t="n"/>
      <c r="J331" s="4">
        <f>IF(AND(H331&lt;&gt;"",I331&lt;&gt;""),(I331-H331)*24,"")</f>
        <v/>
      </c>
      <c r="M331">
        <f>IF(C331&lt;&gt;"",C331,M330)</f>
        <v/>
      </c>
      <c r="N331">
        <f>IF(D331&lt;&gt;"",D331,N330)</f>
        <v/>
      </c>
      <c r="O331">
        <f>M331&amp;": "&amp;N331</f>
        <v/>
      </c>
      <c r="P331">
        <f>IF(O331="","",IF(COUNTIF($O$1:O330,O331)=0,MAX($P$1:P330)+1,""))</f>
        <v/>
      </c>
      <c r="Q331">
        <f>IF(A331="","",COUNTIF($A$2:A331,A331))</f>
        <v/>
      </c>
      <c r="R331">
        <f>IF(A331="","",MAX($R$1:R330)+1)</f>
        <v/>
      </c>
    </row>
    <row r="332">
      <c r="A332" s="2" t="n"/>
      <c r="H332" s="3" t="n"/>
      <c r="I332" s="3" t="n"/>
      <c r="J332" s="4">
        <f>IF(AND(H332&lt;&gt;"",I332&lt;&gt;""),(I332-H332)*24,"")</f>
        <v/>
      </c>
      <c r="M332">
        <f>IF(C332&lt;&gt;"",C332,M331)</f>
        <v/>
      </c>
      <c r="N332">
        <f>IF(D332&lt;&gt;"",D332,N331)</f>
        <v/>
      </c>
      <c r="O332">
        <f>M332&amp;": "&amp;N332</f>
        <v/>
      </c>
      <c r="P332">
        <f>IF(O332="","",IF(COUNTIF($O$1:O331,O332)=0,MAX($P$1:P331)+1,""))</f>
        <v/>
      </c>
      <c r="Q332">
        <f>IF(A332="","",COUNTIF($A$2:A332,A332))</f>
        <v/>
      </c>
      <c r="R332">
        <f>IF(A332="","",MAX($R$1:R331)+1)</f>
        <v/>
      </c>
    </row>
    <row r="333">
      <c r="A333" s="2" t="n"/>
      <c r="H333" s="3" t="n"/>
      <c r="I333" s="3" t="n"/>
      <c r="J333" s="4">
        <f>IF(AND(H333&lt;&gt;"",I333&lt;&gt;""),(I333-H333)*24,"")</f>
        <v/>
      </c>
      <c r="M333">
        <f>IF(C333&lt;&gt;"",C333,M332)</f>
        <v/>
      </c>
      <c r="N333">
        <f>IF(D333&lt;&gt;"",D333,N332)</f>
        <v/>
      </c>
      <c r="O333">
        <f>M333&amp;": "&amp;N333</f>
        <v/>
      </c>
      <c r="P333">
        <f>IF(O333="","",IF(COUNTIF($O$1:O332,O333)=0,MAX($P$1:P332)+1,""))</f>
        <v/>
      </c>
      <c r="Q333">
        <f>IF(A333="","",COUNTIF($A$2:A333,A333))</f>
        <v/>
      </c>
      <c r="R333">
        <f>IF(A333="","",MAX($R$1:R332)+1)</f>
        <v/>
      </c>
    </row>
    <row r="334">
      <c r="A334" s="2" t="n"/>
      <c r="H334" s="3" t="n"/>
      <c r="I334" s="3" t="n"/>
      <c r="J334" s="4">
        <f>IF(AND(H334&lt;&gt;"",I334&lt;&gt;""),(I334-H334)*24,"")</f>
        <v/>
      </c>
      <c r="M334">
        <f>IF(C334&lt;&gt;"",C334,M333)</f>
        <v/>
      </c>
      <c r="N334">
        <f>IF(D334&lt;&gt;"",D334,N333)</f>
        <v/>
      </c>
      <c r="O334">
        <f>M334&amp;": "&amp;N334</f>
        <v/>
      </c>
      <c r="P334">
        <f>IF(O334="","",IF(COUNTIF($O$1:O333,O334)=0,MAX($P$1:P333)+1,""))</f>
        <v/>
      </c>
      <c r="Q334">
        <f>IF(A334="","",COUNTIF($A$2:A334,A334))</f>
        <v/>
      </c>
      <c r="R334">
        <f>IF(A334="","",MAX($R$1:R333)+1)</f>
        <v/>
      </c>
    </row>
    <row r="335">
      <c r="A335" s="2" t="n"/>
      <c r="H335" s="3" t="n"/>
      <c r="I335" s="3" t="n"/>
      <c r="J335" s="4">
        <f>IF(AND(H335&lt;&gt;"",I335&lt;&gt;""),(I335-H335)*24,"")</f>
        <v/>
      </c>
      <c r="M335">
        <f>IF(C335&lt;&gt;"",C335,M334)</f>
        <v/>
      </c>
      <c r="N335">
        <f>IF(D335&lt;&gt;"",D335,N334)</f>
        <v/>
      </c>
      <c r="O335">
        <f>M335&amp;": "&amp;N335</f>
        <v/>
      </c>
      <c r="P335">
        <f>IF(O335="","",IF(COUNTIF($O$1:O334,O335)=0,MAX($P$1:P334)+1,""))</f>
        <v/>
      </c>
      <c r="Q335">
        <f>IF(A335="","",COUNTIF($A$2:A335,A335))</f>
        <v/>
      </c>
      <c r="R335">
        <f>IF(A335="","",MAX($R$1:R334)+1)</f>
        <v/>
      </c>
    </row>
    <row r="336">
      <c r="A336" s="2" t="n"/>
      <c r="H336" s="3" t="n"/>
      <c r="I336" s="3" t="n"/>
      <c r="J336" s="4">
        <f>IF(AND(H336&lt;&gt;"",I336&lt;&gt;""),(I336-H336)*24,"")</f>
        <v/>
      </c>
      <c r="M336">
        <f>IF(C336&lt;&gt;"",C336,M335)</f>
        <v/>
      </c>
      <c r="N336">
        <f>IF(D336&lt;&gt;"",D336,N335)</f>
        <v/>
      </c>
      <c r="O336">
        <f>M336&amp;": "&amp;N336</f>
        <v/>
      </c>
      <c r="P336">
        <f>IF(O336="","",IF(COUNTIF($O$1:O335,O336)=0,MAX($P$1:P335)+1,""))</f>
        <v/>
      </c>
      <c r="Q336">
        <f>IF(A336="","",COUNTIF($A$2:A336,A336))</f>
        <v/>
      </c>
      <c r="R336">
        <f>IF(A336="","",MAX($R$1:R335)+1)</f>
        <v/>
      </c>
    </row>
    <row r="337">
      <c r="A337" s="2" t="n"/>
      <c r="H337" s="3" t="n"/>
      <c r="I337" s="3" t="n"/>
      <c r="J337" s="4">
        <f>IF(AND(H337&lt;&gt;"",I337&lt;&gt;""),(I337-H337)*24,"")</f>
        <v/>
      </c>
      <c r="M337">
        <f>IF(C337&lt;&gt;"",C337,M336)</f>
        <v/>
      </c>
      <c r="N337">
        <f>IF(D337&lt;&gt;"",D337,N336)</f>
        <v/>
      </c>
      <c r="O337">
        <f>M337&amp;": "&amp;N337</f>
        <v/>
      </c>
      <c r="P337">
        <f>IF(O337="","",IF(COUNTIF($O$1:O336,O337)=0,MAX($P$1:P336)+1,""))</f>
        <v/>
      </c>
      <c r="Q337">
        <f>IF(A337="","",COUNTIF($A$2:A337,A337))</f>
        <v/>
      </c>
      <c r="R337">
        <f>IF(A337="","",MAX($R$1:R336)+1)</f>
        <v/>
      </c>
    </row>
    <row r="338">
      <c r="A338" s="2" t="n"/>
      <c r="H338" s="3" t="n"/>
      <c r="I338" s="3" t="n"/>
      <c r="J338" s="4">
        <f>IF(AND(H338&lt;&gt;"",I338&lt;&gt;""),(I338-H338)*24,"")</f>
        <v/>
      </c>
      <c r="M338">
        <f>IF(C338&lt;&gt;"",C338,M337)</f>
        <v/>
      </c>
      <c r="N338">
        <f>IF(D338&lt;&gt;"",D338,N337)</f>
        <v/>
      </c>
      <c r="O338">
        <f>M338&amp;": "&amp;N338</f>
        <v/>
      </c>
      <c r="P338">
        <f>IF(O338="","",IF(COUNTIF($O$1:O337,O338)=0,MAX($P$1:P337)+1,""))</f>
        <v/>
      </c>
      <c r="Q338">
        <f>IF(A338="","",COUNTIF($A$2:A338,A338))</f>
        <v/>
      </c>
      <c r="R338">
        <f>IF(A338="","",MAX($R$1:R337)+1)</f>
        <v/>
      </c>
    </row>
    <row r="339">
      <c r="A339" s="2" t="n"/>
      <c r="H339" s="3" t="n"/>
      <c r="I339" s="3" t="n"/>
      <c r="J339" s="4">
        <f>IF(AND(H339&lt;&gt;"",I339&lt;&gt;""),(I339-H339)*24,"")</f>
        <v/>
      </c>
      <c r="M339">
        <f>IF(C339&lt;&gt;"",C339,M338)</f>
        <v/>
      </c>
      <c r="N339">
        <f>IF(D339&lt;&gt;"",D339,N338)</f>
        <v/>
      </c>
      <c r="O339">
        <f>M339&amp;": "&amp;N339</f>
        <v/>
      </c>
      <c r="P339">
        <f>IF(O339="","",IF(COUNTIF($O$1:O338,O339)=0,MAX($P$1:P338)+1,""))</f>
        <v/>
      </c>
      <c r="Q339">
        <f>IF(A339="","",COUNTIF($A$2:A339,A339))</f>
        <v/>
      </c>
      <c r="R339">
        <f>IF(A339="","",MAX($R$1:R338)+1)</f>
        <v/>
      </c>
    </row>
    <row r="340">
      <c r="A340" s="2" t="n"/>
      <c r="H340" s="3" t="n"/>
      <c r="I340" s="3" t="n"/>
      <c r="J340" s="4">
        <f>IF(AND(H340&lt;&gt;"",I340&lt;&gt;""),(I340-H340)*24,"")</f>
        <v/>
      </c>
      <c r="M340">
        <f>IF(C340&lt;&gt;"",C340,M339)</f>
        <v/>
      </c>
      <c r="N340">
        <f>IF(D340&lt;&gt;"",D340,N339)</f>
        <v/>
      </c>
      <c r="O340">
        <f>M340&amp;": "&amp;N340</f>
        <v/>
      </c>
      <c r="P340">
        <f>IF(O340="","",IF(COUNTIF($O$1:O339,O340)=0,MAX($P$1:P339)+1,""))</f>
        <v/>
      </c>
      <c r="Q340">
        <f>IF(A340="","",COUNTIF($A$2:A340,A340))</f>
        <v/>
      </c>
      <c r="R340">
        <f>IF(A340="","",MAX($R$1:R339)+1)</f>
        <v/>
      </c>
    </row>
    <row r="341">
      <c r="A341" s="2" t="n"/>
      <c r="H341" s="3" t="n"/>
      <c r="I341" s="3" t="n"/>
      <c r="J341" s="4">
        <f>IF(AND(H341&lt;&gt;"",I341&lt;&gt;""),(I341-H341)*24,"")</f>
        <v/>
      </c>
      <c r="M341">
        <f>IF(C341&lt;&gt;"",C341,M340)</f>
        <v/>
      </c>
      <c r="N341">
        <f>IF(D341&lt;&gt;"",D341,N340)</f>
        <v/>
      </c>
      <c r="O341">
        <f>M341&amp;": "&amp;N341</f>
        <v/>
      </c>
      <c r="P341">
        <f>IF(O341="","",IF(COUNTIF($O$1:O340,O341)=0,MAX($P$1:P340)+1,""))</f>
        <v/>
      </c>
      <c r="Q341">
        <f>IF(A341="","",COUNTIF($A$2:A341,A341))</f>
        <v/>
      </c>
      <c r="R341">
        <f>IF(A341="","",MAX($R$1:R340)+1)</f>
        <v/>
      </c>
    </row>
    <row r="342">
      <c r="A342" s="2" t="n"/>
      <c r="H342" s="3" t="n"/>
      <c r="I342" s="3" t="n"/>
      <c r="J342" s="4">
        <f>IF(AND(H342&lt;&gt;"",I342&lt;&gt;""),(I342-H342)*24,"")</f>
        <v/>
      </c>
      <c r="M342">
        <f>IF(C342&lt;&gt;"",C342,M341)</f>
        <v/>
      </c>
      <c r="N342">
        <f>IF(D342&lt;&gt;"",D342,N341)</f>
        <v/>
      </c>
      <c r="O342">
        <f>M342&amp;": "&amp;N342</f>
        <v/>
      </c>
      <c r="P342">
        <f>IF(O342="","",IF(COUNTIF($O$1:O341,O342)=0,MAX($P$1:P341)+1,""))</f>
        <v/>
      </c>
      <c r="Q342">
        <f>IF(A342="","",COUNTIF($A$2:A342,A342))</f>
        <v/>
      </c>
      <c r="R342">
        <f>IF(A342="","",MAX($R$1:R341)+1)</f>
        <v/>
      </c>
    </row>
    <row r="343">
      <c r="A343" s="2" t="n"/>
      <c r="H343" s="3" t="n"/>
      <c r="I343" s="3" t="n"/>
      <c r="J343" s="4">
        <f>IF(AND(H343&lt;&gt;"",I343&lt;&gt;""),(I343-H343)*24,"")</f>
        <v/>
      </c>
      <c r="M343">
        <f>IF(C343&lt;&gt;"",C343,M342)</f>
        <v/>
      </c>
      <c r="N343">
        <f>IF(D343&lt;&gt;"",D343,N342)</f>
        <v/>
      </c>
      <c r="O343">
        <f>M343&amp;": "&amp;N343</f>
        <v/>
      </c>
      <c r="P343">
        <f>IF(O343="","",IF(COUNTIF($O$1:O342,O343)=0,MAX($P$1:P342)+1,""))</f>
        <v/>
      </c>
      <c r="Q343">
        <f>IF(A343="","",COUNTIF($A$2:A343,A343))</f>
        <v/>
      </c>
      <c r="R343">
        <f>IF(A343="","",MAX($R$1:R342)+1)</f>
        <v/>
      </c>
    </row>
    <row r="344">
      <c r="A344" s="2" t="n"/>
      <c r="H344" s="3" t="n"/>
      <c r="I344" s="3" t="n"/>
      <c r="J344" s="4">
        <f>IF(AND(H344&lt;&gt;"",I344&lt;&gt;""),(I344-H344)*24,"")</f>
        <v/>
      </c>
      <c r="M344">
        <f>IF(C344&lt;&gt;"",C344,M343)</f>
        <v/>
      </c>
      <c r="N344">
        <f>IF(D344&lt;&gt;"",D344,N343)</f>
        <v/>
      </c>
      <c r="O344">
        <f>M344&amp;": "&amp;N344</f>
        <v/>
      </c>
      <c r="P344">
        <f>IF(O344="","",IF(COUNTIF($O$1:O343,O344)=0,MAX($P$1:P343)+1,""))</f>
        <v/>
      </c>
      <c r="Q344">
        <f>IF(A344="","",COUNTIF($A$2:A344,A344))</f>
        <v/>
      </c>
      <c r="R344">
        <f>IF(A344="","",MAX($R$1:R343)+1)</f>
        <v/>
      </c>
    </row>
    <row r="345">
      <c r="A345" s="2" t="n"/>
      <c r="H345" s="3" t="n"/>
      <c r="I345" s="3" t="n"/>
      <c r="J345" s="4">
        <f>IF(AND(H345&lt;&gt;"",I345&lt;&gt;""),(I345-H345)*24,"")</f>
        <v/>
      </c>
      <c r="M345">
        <f>IF(C345&lt;&gt;"",C345,M344)</f>
        <v/>
      </c>
      <c r="N345">
        <f>IF(D345&lt;&gt;"",D345,N344)</f>
        <v/>
      </c>
      <c r="O345">
        <f>M345&amp;": "&amp;N345</f>
        <v/>
      </c>
      <c r="P345">
        <f>IF(O345="","",IF(COUNTIF($O$1:O344,O345)=0,MAX($P$1:P344)+1,""))</f>
        <v/>
      </c>
      <c r="Q345">
        <f>IF(A345="","",COUNTIF($A$2:A345,A345))</f>
        <v/>
      </c>
      <c r="R345">
        <f>IF(A345="","",MAX($R$1:R344)+1)</f>
        <v/>
      </c>
    </row>
    <row r="346">
      <c r="A346" s="2" t="n"/>
      <c r="H346" s="3" t="n"/>
      <c r="I346" s="3" t="n"/>
      <c r="J346" s="4">
        <f>IF(AND(H346&lt;&gt;"",I346&lt;&gt;""),(I346-H346)*24,"")</f>
        <v/>
      </c>
      <c r="M346">
        <f>IF(C346&lt;&gt;"",C346,M345)</f>
        <v/>
      </c>
      <c r="N346">
        <f>IF(D346&lt;&gt;"",D346,N345)</f>
        <v/>
      </c>
      <c r="O346">
        <f>M346&amp;": "&amp;N346</f>
        <v/>
      </c>
      <c r="P346">
        <f>IF(O346="","",IF(COUNTIF($O$1:O345,O346)=0,MAX($P$1:P345)+1,""))</f>
        <v/>
      </c>
      <c r="Q346">
        <f>IF(A346="","",COUNTIF($A$2:A346,A346))</f>
        <v/>
      </c>
      <c r="R346">
        <f>IF(A346="","",MAX($R$1:R345)+1)</f>
        <v/>
      </c>
    </row>
    <row r="347">
      <c r="A347" s="2" t="n"/>
      <c r="H347" s="3" t="n"/>
      <c r="I347" s="3" t="n"/>
      <c r="J347" s="4">
        <f>IF(AND(H347&lt;&gt;"",I347&lt;&gt;""),(I347-H347)*24,"")</f>
        <v/>
      </c>
      <c r="M347">
        <f>IF(C347&lt;&gt;"",C347,M346)</f>
        <v/>
      </c>
      <c r="N347">
        <f>IF(D347&lt;&gt;"",D347,N346)</f>
        <v/>
      </c>
      <c r="O347">
        <f>M347&amp;": "&amp;N347</f>
        <v/>
      </c>
      <c r="P347">
        <f>IF(O347="","",IF(COUNTIF($O$1:O346,O347)=0,MAX($P$1:P346)+1,""))</f>
        <v/>
      </c>
      <c r="Q347">
        <f>IF(A347="","",COUNTIF($A$2:A347,A347))</f>
        <v/>
      </c>
      <c r="R347">
        <f>IF(A347="","",MAX($R$1:R346)+1)</f>
        <v/>
      </c>
    </row>
    <row r="348">
      <c r="A348" s="2" t="n"/>
      <c r="H348" s="3" t="n"/>
      <c r="I348" s="3" t="n"/>
      <c r="J348" s="4">
        <f>IF(AND(H348&lt;&gt;"",I348&lt;&gt;""),(I348-H348)*24,"")</f>
        <v/>
      </c>
      <c r="M348">
        <f>IF(C348&lt;&gt;"",C348,M347)</f>
        <v/>
      </c>
      <c r="N348">
        <f>IF(D348&lt;&gt;"",D348,N347)</f>
        <v/>
      </c>
      <c r="O348">
        <f>M348&amp;": "&amp;N348</f>
        <v/>
      </c>
      <c r="P348">
        <f>IF(O348="","",IF(COUNTIF($O$1:O347,O348)=0,MAX($P$1:P347)+1,""))</f>
        <v/>
      </c>
      <c r="Q348">
        <f>IF(A348="","",COUNTIF($A$2:A348,A348))</f>
        <v/>
      </c>
      <c r="R348">
        <f>IF(A348="","",MAX($R$1:R347)+1)</f>
        <v/>
      </c>
    </row>
    <row r="349">
      <c r="A349" s="2" t="n"/>
      <c r="H349" s="3" t="n"/>
      <c r="I349" s="3" t="n"/>
      <c r="J349" s="4">
        <f>IF(AND(H349&lt;&gt;"",I349&lt;&gt;""),(I349-H349)*24,"")</f>
        <v/>
      </c>
      <c r="M349">
        <f>IF(C349&lt;&gt;"",C349,M348)</f>
        <v/>
      </c>
      <c r="N349">
        <f>IF(D349&lt;&gt;"",D349,N348)</f>
        <v/>
      </c>
      <c r="O349">
        <f>M349&amp;": "&amp;N349</f>
        <v/>
      </c>
      <c r="P349">
        <f>IF(O349="","",IF(COUNTIF($O$1:O348,O349)=0,MAX($P$1:P348)+1,""))</f>
        <v/>
      </c>
      <c r="Q349">
        <f>IF(A349="","",COUNTIF($A$2:A349,A349))</f>
        <v/>
      </c>
      <c r="R349">
        <f>IF(A349="","",MAX($R$1:R348)+1)</f>
        <v/>
      </c>
    </row>
    <row r="350">
      <c r="A350" s="2" t="n"/>
      <c r="H350" s="3" t="n"/>
      <c r="I350" s="3" t="n"/>
      <c r="J350" s="4">
        <f>IF(AND(H350&lt;&gt;"",I350&lt;&gt;""),(I350-H350)*24,"")</f>
        <v/>
      </c>
      <c r="M350">
        <f>IF(C350&lt;&gt;"",C350,M349)</f>
        <v/>
      </c>
      <c r="N350">
        <f>IF(D350&lt;&gt;"",D350,N349)</f>
        <v/>
      </c>
      <c r="O350">
        <f>M350&amp;": "&amp;N350</f>
        <v/>
      </c>
      <c r="P350">
        <f>IF(O350="","",IF(COUNTIF($O$1:O349,O350)=0,MAX($P$1:P349)+1,""))</f>
        <v/>
      </c>
      <c r="Q350">
        <f>IF(A350="","",COUNTIF($A$2:A350,A350))</f>
        <v/>
      </c>
      <c r="R350">
        <f>IF(A350="","",MAX($R$1:R349)+1)</f>
        <v/>
      </c>
    </row>
    <row r="351">
      <c r="A351" s="2" t="n"/>
      <c r="H351" s="3" t="n"/>
      <c r="I351" s="3" t="n"/>
      <c r="J351" s="4">
        <f>IF(AND(H351&lt;&gt;"",I351&lt;&gt;""),(I351-H351)*24,"")</f>
        <v/>
      </c>
      <c r="M351">
        <f>IF(C351&lt;&gt;"",C351,M350)</f>
        <v/>
      </c>
      <c r="N351">
        <f>IF(D351&lt;&gt;"",D351,N350)</f>
        <v/>
      </c>
      <c r="O351">
        <f>M351&amp;": "&amp;N351</f>
        <v/>
      </c>
      <c r="P351">
        <f>IF(O351="","",IF(COUNTIF($O$1:O350,O351)=0,MAX($P$1:P350)+1,""))</f>
        <v/>
      </c>
      <c r="Q351">
        <f>IF(A351="","",COUNTIF($A$2:A351,A351))</f>
        <v/>
      </c>
      <c r="R351">
        <f>IF(A351="","",MAX($R$1:R350)+1)</f>
        <v/>
      </c>
    </row>
    <row r="352">
      <c r="A352" s="2" t="n"/>
      <c r="H352" s="3" t="n"/>
      <c r="I352" s="3" t="n"/>
      <c r="J352" s="4">
        <f>IF(AND(H352&lt;&gt;"",I352&lt;&gt;""),(I352-H352)*24,"")</f>
        <v/>
      </c>
      <c r="M352">
        <f>IF(C352&lt;&gt;"",C352,M351)</f>
        <v/>
      </c>
      <c r="N352">
        <f>IF(D352&lt;&gt;"",D352,N351)</f>
        <v/>
      </c>
      <c r="O352">
        <f>M352&amp;": "&amp;N352</f>
        <v/>
      </c>
      <c r="P352">
        <f>IF(O352="","",IF(COUNTIF($O$1:O351,O352)=0,MAX($P$1:P351)+1,""))</f>
        <v/>
      </c>
      <c r="Q352">
        <f>IF(A352="","",COUNTIF($A$2:A352,A352))</f>
        <v/>
      </c>
      <c r="R352">
        <f>IF(A352="","",MAX($R$1:R351)+1)</f>
        <v/>
      </c>
    </row>
    <row r="353">
      <c r="A353" s="2" t="n"/>
      <c r="H353" s="3" t="n"/>
      <c r="I353" s="3" t="n"/>
      <c r="J353" s="4">
        <f>IF(AND(H353&lt;&gt;"",I353&lt;&gt;""),(I353-H353)*24,"")</f>
        <v/>
      </c>
      <c r="M353">
        <f>IF(C353&lt;&gt;"",C353,M352)</f>
        <v/>
      </c>
      <c r="N353">
        <f>IF(D353&lt;&gt;"",D353,N352)</f>
        <v/>
      </c>
      <c r="O353">
        <f>M353&amp;": "&amp;N353</f>
        <v/>
      </c>
      <c r="P353">
        <f>IF(O353="","",IF(COUNTIF($O$1:O352,O353)=0,MAX($P$1:P352)+1,""))</f>
        <v/>
      </c>
      <c r="Q353">
        <f>IF(A353="","",COUNTIF($A$2:A353,A353))</f>
        <v/>
      </c>
      <c r="R353">
        <f>IF(A353="","",MAX($R$1:R352)+1)</f>
        <v/>
      </c>
    </row>
    <row r="354">
      <c r="A354" s="2" t="n"/>
      <c r="H354" s="3" t="n"/>
      <c r="I354" s="3" t="n"/>
      <c r="J354" s="4">
        <f>IF(AND(H354&lt;&gt;"",I354&lt;&gt;""),(I354-H354)*24,"")</f>
        <v/>
      </c>
      <c r="M354">
        <f>IF(C354&lt;&gt;"",C354,M353)</f>
        <v/>
      </c>
      <c r="N354">
        <f>IF(D354&lt;&gt;"",D354,N353)</f>
        <v/>
      </c>
      <c r="O354">
        <f>M354&amp;": "&amp;N354</f>
        <v/>
      </c>
      <c r="P354">
        <f>IF(O354="","",IF(COUNTIF($O$1:O353,O354)=0,MAX($P$1:P353)+1,""))</f>
        <v/>
      </c>
      <c r="Q354">
        <f>IF(A354="","",COUNTIF($A$2:A354,A354))</f>
        <v/>
      </c>
      <c r="R354">
        <f>IF(A354="","",MAX($R$1:R353)+1)</f>
        <v/>
      </c>
    </row>
    <row r="355">
      <c r="A355" s="2" t="n"/>
      <c r="H355" s="3" t="n"/>
      <c r="I355" s="3" t="n"/>
      <c r="J355" s="4">
        <f>IF(AND(H355&lt;&gt;"",I355&lt;&gt;""),(I355-H355)*24,"")</f>
        <v/>
      </c>
      <c r="M355">
        <f>IF(C355&lt;&gt;"",C355,M354)</f>
        <v/>
      </c>
      <c r="N355">
        <f>IF(D355&lt;&gt;"",D355,N354)</f>
        <v/>
      </c>
      <c r="O355">
        <f>M355&amp;": "&amp;N355</f>
        <v/>
      </c>
      <c r="P355">
        <f>IF(O355="","",IF(COUNTIF($O$1:O354,O355)=0,MAX($P$1:P354)+1,""))</f>
        <v/>
      </c>
      <c r="Q355">
        <f>IF(A355="","",COUNTIF($A$2:A355,A355))</f>
        <v/>
      </c>
      <c r="R355">
        <f>IF(A355="","",MAX($R$1:R354)+1)</f>
        <v/>
      </c>
    </row>
    <row r="356">
      <c r="A356" s="2" t="n"/>
      <c r="H356" s="3" t="n"/>
      <c r="I356" s="3" t="n"/>
      <c r="J356" s="4">
        <f>IF(AND(H356&lt;&gt;"",I356&lt;&gt;""),(I356-H356)*24,"")</f>
        <v/>
      </c>
      <c r="M356">
        <f>IF(C356&lt;&gt;"",C356,M355)</f>
        <v/>
      </c>
      <c r="N356">
        <f>IF(D356&lt;&gt;"",D356,N355)</f>
        <v/>
      </c>
      <c r="O356">
        <f>M356&amp;": "&amp;N356</f>
        <v/>
      </c>
      <c r="P356">
        <f>IF(O356="","",IF(COUNTIF($O$1:O355,O356)=0,MAX($P$1:P355)+1,""))</f>
        <v/>
      </c>
      <c r="Q356">
        <f>IF(A356="","",COUNTIF($A$2:A356,A356))</f>
        <v/>
      </c>
      <c r="R356">
        <f>IF(A356="","",MAX($R$1:R355)+1)</f>
        <v/>
      </c>
    </row>
    <row r="357">
      <c r="A357" s="2" t="n"/>
      <c r="H357" s="3" t="n"/>
      <c r="I357" s="3" t="n"/>
      <c r="J357" s="4">
        <f>IF(AND(H357&lt;&gt;"",I357&lt;&gt;""),(I357-H357)*24,"")</f>
        <v/>
      </c>
      <c r="M357">
        <f>IF(C357&lt;&gt;"",C357,M356)</f>
        <v/>
      </c>
      <c r="N357">
        <f>IF(D357&lt;&gt;"",D357,N356)</f>
        <v/>
      </c>
      <c r="O357">
        <f>M357&amp;": "&amp;N357</f>
        <v/>
      </c>
      <c r="P357">
        <f>IF(O357="","",IF(COUNTIF($O$1:O356,O357)=0,MAX($P$1:P356)+1,""))</f>
        <v/>
      </c>
      <c r="Q357">
        <f>IF(A357="","",COUNTIF($A$2:A357,A357))</f>
        <v/>
      </c>
      <c r="R357">
        <f>IF(A357="","",MAX($R$1:R356)+1)</f>
        <v/>
      </c>
    </row>
    <row r="358">
      <c r="A358" s="2" t="n"/>
      <c r="H358" s="3" t="n"/>
      <c r="I358" s="3" t="n"/>
      <c r="J358" s="4">
        <f>IF(AND(H358&lt;&gt;"",I358&lt;&gt;""),(I358-H358)*24,"")</f>
        <v/>
      </c>
      <c r="M358">
        <f>IF(C358&lt;&gt;"",C358,M357)</f>
        <v/>
      </c>
      <c r="N358">
        <f>IF(D358&lt;&gt;"",D358,N357)</f>
        <v/>
      </c>
      <c r="O358">
        <f>M358&amp;": "&amp;N358</f>
        <v/>
      </c>
      <c r="P358">
        <f>IF(O358="","",IF(COUNTIF($O$1:O357,O358)=0,MAX($P$1:P357)+1,""))</f>
        <v/>
      </c>
      <c r="Q358">
        <f>IF(A358="","",COUNTIF($A$2:A358,A358))</f>
        <v/>
      </c>
      <c r="R358">
        <f>IF(A358="","",MAX($R$1:R357)+1)</f>
        <v/>
      </c>
    </row>
    <row r="359">
      <c r="A359" s="2" t="n"/>
      <c r="H359" s="3" t="n"/>
      <c r="I359" s="3" t="n"/>
      <c r="J359" s="4">
        <f>IF(AND(H359&lt;&gt;"",I359&lt;&gt;""),(I359-H359)*24,"")</f>
        <v/>
      </c>
      <c r="M359">
        <f>IF(C359&lt;&gt;"",C359,M358)</f>
        <v/>
      </c>
      <c r="N359">
        <f>IF(D359&lt;&gt;"",D359,N358)</f>
        <v/>
      </c>
      <c r="O359">
        <f>M359&amp;": "&amp;N359</f>
        <v/>
      </c>
      <c r="P359">
        <f>IF(O359="","",IF(COUNTIF($O$1:O358,O359)=0,MAX($P$1:P358)+1,""))</f>
        <v/>
      </c>
      <c r="Q359">
        <f>IF(A359="","",COUNTIF($A$2:A359,A359))</f>
        <v/>
      </c>
      <c r="R359">
        <f>IF(A359="","",MAX($R$1:R358)+1)</f>
        <v/>
      </c>
    </row>
    <row r="360">
      <c r="A360" s="2" t="n"/>
      <c r="H360" s="3" t="n"/>
      <c r="I360" s="3" t="n"/>
      <c r="J360" s="4">
        <f>IF(AND(H360&lt;&gt;"",I360&lt;&gt;""),(I360-H360)*24,"")</f>
        <v/>
      </c>
      <c r="M360">
        <f>IF(C360&lt;&gt;"",C360,M359)</f>
        <v/>
      </c>
      <c r="N360">
        <f>IF(D360&lt;&gt;"",D360,N359)</f>
        <v/>
      </c>
      <c r="O360">
        <f>M360&amp;": "&amp;N360</f>
        <v/>
      </c>
      <c r="P360">
        <f>IF(O360="","",IF(COUNTIF($O$1:O359,O360)=0,MAX($P$1:P359)+1,""))</f>
        <v/>
      </c>
      <c r="Q360">
        <f>IF(A360="","",COUNTIF($A$2:A360,A360))</f>
        <v/>
      </c>
      <c r="R360">
        <f>IF(A360="","",MAX($R$1:R359)+1)</f>
        <v/>
      </c>
    </row>
    <row r="361">
      <c r="A361" s="2" t="n"/>
      <c r="H361" s="3" t="n"/>
      <c r="I361" s="3" t="n"/>
      <c r="J361" s="4">
        <f>IF(AND(H361&lt;&gt;"",I361&lt;&gt;""),(I361-H361)*24,"")</f>
        <v/>
      </c>
      <c r="M361">
        <f>IF(C361&lt;&gt;"",C361,M360)</f>
        <v/>
      </c>
      <c r="N361">
        <f>IF(D361&lt;&gt;"",D361,N360)</f>
        <v/>
      </c>
      <c r="O361">
        <f>M361&amp;": "&amp;N361</f>
        <v/>
      </c>
      <c r="P361">
        <f>IF(O361="","",IF(COUNTIF($O$1:O360,O361)=0,MAX($P$1:P360)+1,""))</f>
        <v/>
      </c>
      <c r="Q361">
        <f>IF(A361="","",COUNTIF($A$2:A361,A361))</f>
        <v/>
      </c>
      <c r="R361">
        <f>IF(A361="","",MAX($R$1:R360)+1)</f>
        <v/>
      </c>
    </row>
    <row r="362">
      <c r="A362" s="2" t="n"/>
      <c r="H362" s="3" t="n"/>
      <c r="I362" s="3" t="n"/>
      <c r="J362" s="4">
        <f>IF(AND(H362&lt;&gt;"",I362&lt;&gt;""),(I362-H362)*24,"")</f>
        <v/>
      </c>
      <c r="M362">
        <f>IF(C362&lt;&gt;"",C362,M361)</f>
        <v/>
      </c>
      <c r="N362">
        <f>IF(D362&lt;&gt;"",D362,N361)</f>
        <v/>
      </c>
      <c r="O362">
        <f>M362&amp;": "&amp;N362</f>
        <v/>
      </c>
      <c r="P362">
        <f>IF(O362="","",IF(COUNTIF($O$1:O361,O362)=0,MAX($P$1:P361)+1,""))</f>
        <v/>
      </c>
      <c r="Q362">
        <f>IF(A362="","",COUNTIF($A$2:A362,A362))</f>
        <v/>
      </c>
      <c r="R362">
        <f>IF(A362="","",MAX($R$1:R361)+1)</f>
        <v/>
      </c>
    </row>
    <row r="363">
      <c r="A363" s="2" t="n"/>
      <c r="H363" s="3" t="n"/>
      <c r="I363" s="3" t="n"/>
      <c r="J363" s="4">
        <f>IF(AND(H363&lt;&gt;"",I363&lt;&gt;""),(I363-H363)*24,"")</f>
        <v/>
      </c>
      <c r="M363">
        <f>IF(C363&lt;&gt;"",C363,M362)</f>
        <v/>
      </c>
      <c r="N363">
        <f>IF(D363&lt;&gt;"",D363,N362)</f>
        <v/>
      </c>
      <c r="O363">
        <f>M363&amp;": "&amp;N363</f>
        <v/>
      </c>
      <c r="P363">
        <f>IF(O363="","",IF(COUNTIF($O$1:O362,O363)=0,MAX($P$1:P362)+1,""))</f>
        <v/>
      </c>
      <c r="Q363">
        <f>IF(A363="","",COUNTIF($A$2:A363,A363))</f>
        <v/>
      </c>
      <c r="R363">
        <f>IF(A363="","",MAX($R$1:R362)+1)</f>
        <v/>
      </c>
    </row>
    <row r="364">
      <c r="A364" s="2" t="n"/>
      <c r="H364" s="3" t="n"/>
      <c r="I364" s="3" t="n"/>
      <c r="J364" s="4">
        <f>IF(AND(H364&lt;&gt;"",I364&lt;&gt;""),(I364-H364)*24,"")</f>
        <v/>
      </c>
      <c r="M364">
        <f>IF(C364&lt;&gt;"",C364,M363)</f>
        <v/>
      </c>
      <c r="N364">
        <f>IF(D364&lt;&gt;"",D364,N363)</f>
        <v/>
      </c>
      <c r="O364">
        <f>M364&amp;": "&amp;N364</f>
        <v/>
      </c>
      <c r="P364">
        <f>IF(O364="","",IF(COUNTIF($O$1:O363,O364)=0,MAX($P$1:P363)+1,""))</f>
        <v/>
      </c>
      <c r="Q364">
        <f>IF(A364="","",COUNTIF($A$2:A364,A364))</f>
        <v/>
      </c>
      <c r="R364">
        <f>IF(A364="","",MAX($R$1:R363)+1)</f>
        <v/>
      </c>
    </row>
    <row r="365">
      <c r="A365" s="2" t="n"/>
      <c r="H365" s="3" t="n"/>
      <c r="I365" s="3" t="n"/>
      <c r="J365" s="4">
        <f>IF(AND(H365&lt;&gt;"",I365&lt;&gt;""),(I365-H365)*24,"")</f>
        <v/>
      </c>
      <c r="M365">
        <f>IF(C365&lt;&gt;"",C365,M364)</f>
        <v/>
      </c>
      <c r="N365">
        <f>IF(D365&lt;&gt;"",D365,N364)</f>
        <v/>
      </c>
      <c r="O365">
        <f>M365&amp;": "&amp;N365</f>
        <v/>
      </c>
      <c r="P365">
        <f>IF(O365="","",IF(COUNTIF($O$1:O364,O365)=0,MAX($P$1:P364)+1,""))</f>
        <v/>
      </c>
      <c r="Q365">
        <f>IF(A365="","",COUNTIF($A$2:A365,A365))</f>
        <v/>
      </c>
      <c r="R365">
        <f>IF(A365="","",MAX($R$1:R364)+1)</f>
        <v/>
      </c>
    </row>
    <row r="366">
      <c r="A366" s="2" t="n"/>
      <c r="H366" s="3" t="n"/>
      <c r="I366" s="3" t="n"/>
      <c r="J366" s="4">
        <f>IF(AND(H366&lt;&gt;"",I366&lt;&gt;""),(I366-H366)*24,"")</f>
        <v/>
      </c>
      <c r="M366">
        <f>IF(C366&lt;&gt;"",C366,M365)</f>
        <v/>
      </c>
      <c r="N366">
        <f>IF(D366&lt;&gt;"",D366,N365)</f>
        <v/>
      </c>
      <c r="O366">
        <f>M366&amp;": "&amp;N366</f>
        <v/>
      </c>
      <c r="P366">
        <f>IF(O366="","",IF(COUNTIF($O$1:O365,O366)=0,MAX($P$1:P365)+1,""))</f>
        <v/>
      </c>
      <c r="Q366">
        <f>IF(A366="","",COUNTIF($A$2:A366,A366))</f>
        <v/>
      </c>
      <c r="R366">
        <f>IF(A366="","",MAX($R$1:R365)+1)</f>
        <v/>
      </c>
    </row>
    <row r="367">
      <c r="A367" s="2" t="n"/>
      <c r="H367" s="3" t="n"/>
      <c r="I367" s="3" t="n"/>
      <c r="J367" s="4">
        <f>IF(AND(H367&lt;&gt;"",I367&lt;&gt;""),(I367-H367)*24,"")</f>
        <v/>
      </c>
      <c r="M367">
        <f>IF(C367&lt;&gt;"",C367,M366)</f>
        <v/>
      </c>
      <c r="N367">
        <f>IF(D367&lt;&gt;"",D367,N366)</f>
        <v/>
      </c>
      <c r="O367">
        <f>M367&amp;": "&amp;N367</f>
        <v/>
      </c>
      <c r="P367">
        <f>IF(O367="","",IF(COUNTIF($O$1:O366,O367)=0,MAX($P$1:P366)+1,""))</f>
        <v/>
      </c>
      <c r="Q367">
        <f>IF(A367="","",COUNTIF($A$2:A367,A367))</f>
        <v/>
      </c>
      <c r="R367">
        <f>IF(A367="","",MAX($R$1:R366)+1)</f>
        <v/>
      </c>
    </row>
    <row r="368">
      <c r="A368" s="2" t="n"/>
      <c r="H368" s="3" t="n"/>
      <c r="I368" s="3" t="n"/>
      <c r="J368" s="4">
        <f>IF(AND(H368&lt;&gt;"",I368&lt;&gt;""),(I368-H368)*24,"")</f>
        <v/>
      </c>
      <c r="M368">
        <f>IF(C368&lt;&gt;"",C368,M367)</f>
        <v/>
      </c>
      <c r="N368">
        <f>IF(D368&lt;&gt;"",D368,N367)</f>
        <v/>
      </c>
      <c r="O368">
        <f>M368&amp;": "&amp;N368</f>
        <v/>
      </c>
      <c r="P368">
        <f>IF(O368="","",IF(COUNTIF($O$1:O367,O368)=0,MAX($P$1:P367)+1,""))</f>
        <v/>
      </c>
      <c r="Q368">
        <f>IF(A368="","",COUNTIF($A$2:A368,A368))</f>
        <v/>
      </c>
      <c r="R368">
        <f>IF(A368="","",MAX($R$1:R367)+1)</f>
        <v/>
      </c>
    </row>
    <row r="369">
      <c r="A369" s="2" t="n"/>
      <c r="H369" s="3" t="n"/>
      <c r="I369" s="3" t="n"/>
      <c r="J369" s="4">
        <f>IF(AND(H369&lt;&gt;"",I369&lt;&gt;""),(I369-H369)*24,"")</f>
        <v/>
      </c>
      <c r="M369">
        <f>IF(C369&lt;&gt;"",C369,M368)</f>
        <v/>
      </c>
      <c r="N369">
        <f>IF(D369&lt;&gt;"",D369,N368)</f>
        <v/>
      </c>
      <c r="O369">
        <f>M369&amp;": "&amp;N369</f>
        <v/>
      </c>
      <c r="P369">
        <f>IF(O369="","",IF(COUNTIF($O$1:O368,O369)=0,MAX($P$1:P368)+1,""))</f>
        <v/>
      </c>
      <c r="Q369">
        <f>IF(A369="","",COUNTIF($A$2:A369,A369))</f>
        <v/>
      </c>
      <c r="R369">
        <f>IF(A369="","",MAX($R$1:R368)+1)</f>
        <v/>
      </c>
    </row>
    <row r="370">
      <c r="A370" s="2" t="n"/>
      <c r="H370" s="3" t="n"/>
      <c r="I370" s="3" t="n"/>
      <c r="J370" s="4">
        <f>IF(AND(H370&lt;&gt;"",I370&lt;&gt;""),(I370-H370)*24,"")</f>
        <v/>
      </c>
      <c r="M370">
        <f>IF(C370&lt;&gt;"",C370,M369)</f>
        <v/>
      </c>
      <c r="N370">
        <f>IF(D370&lt;&gt;"",D370,N369)</f>
        <v/>
      </c>
      <c r="O370">
        <f>M370&amp;": "&amp;N370</f>
        <v/>
      </c>
      <c r="P370">
        <f>IF(O370="","",IF(COUNTIF($O$1:O369,O370)=0,MAX($P$1:P369)+1,""))</f>
        <v/>
      </c>
      <c r="Q370">
        <f>IF(A370="","",COUNTIF($A$2:A370,A370))</f>
        <v/>
      </c>
      <c r="R370">
        <f>IF(A370="","",MAX($R$1:R369)+1)</f>
        <v/>
      </c>
    </row>
    <row r="371">
      <c r="A371" s="2" t="n"/>
      <c r="H371" s="3" t="n"/>
      <c r="I371" s="3" t="n"/>
      <c r="J371" s="4">
        <f>IF(AND(H371&lt;&gt;"",I371&lt;&gt;""),(I371-H371)*24,"")</f>
        <v/>
      </c>
      <c r="M371">
        <f>IF(C371&lt;&gt;"",C371,M370)</f>
        <v/>
      </c>
      <c r="N371">
        <f>IF(D371&lt;&gt;"",D371,N370)</f>
        <v/>
      </c>
      <c r="O371">
        <f>M371&amp;": "&amp;N371</f>
        <v/>
      </c>
      <c r="P371">
        <f>IF(O371="","",IF(COUNTIF($O$1:O370,O371)=0,MAX($P$1:P370)+1,""))</f>
        <v/>
      </c>
      <c r="Q371">
        <f>IF(A371="","",COUNTIF($A$2:A371,A371))</f>
        <v/>
      </c>
      <c r="R371">
        <f>IF(A371="","",MAX($R$1:R370)+1)</f>
        <v/>
      </c>
    </row>
    <row r="372">
      <c r="A372" s="2" t="n"/>
      <c r="H372" s="3" t="n"/>
      <c r="I372" s="3" t="n"/>
      <c r="J372" s="4">
        <f>IF(AND(H372&lt;&gt;"",I372&lt;&gt;""),(I372-H372)*24,"")</f>
        <v/>
      </c>
      <c r="M372">
        <f>IF(C372&lt;&gt;"",C372,M371)</f>
        <v/>
      </c>
      <c r="N372">
        <f>IF(D372&lt;&gt;"",D372,N371)</f>
        <v/>
      </c>
      <c r="O372">
        <f>M372&amp;": "&amp;N372</f>
        <v/>
      </c>
      <c r="P372">
        <f>IF(O372="","",IF(COUNTIF($O$1:O371,O372)=0,MAX($P$1:P371)+1,""))</f>
        <v/>
      </c>
      <c r="Q372">
        <f>IF(A372="","",COUNTIF($A$2:A372,A372))</f>
        <v/>
      </c>
      <c r="R372">
        <f>IF(A372="","",MAX($R$1:R371)+1)</f>
        <v/>
      </c>
    </row>
    <row r="373">
      <c r="A373" s="2" t="n"/>
      <c r="H373" s="3" t="n"/>
      <c r="I373" s="3" t="n"/>
      <c r="J373" s="4">
        <f>IF(AND(H373&lt;&gt;"",I373&lt;&gt;""),(I373-H373)*24,"")</f>
        <v/>
      </c>
      <c r="M373">
        <f>IF(C373&lt;&gt;"",C373,M372)</f>
        <v/>
      </c>
      <c r="N373">
        <f>IF(D373&lt;&gt;"",D373,N372)</f>
        <v/>
      </c>
      <c r="O373">
        <f>M373&amp;": "&amp;N373</f>
        <v/>
      </c>
      <c r="P373">
        <f>IF(O373="","",IF(COUNTIF($O$1:O372,O373)=0,MAX($P$1:P372)+1,""))</f>
        <v/>
      </c>
      <c r="Q373">
        <f>IF(A373="","",COUNTIF($A$2:A373,A373))</f>
        <v/>
      </c>
      <c r="R373">
        <f>IF(A373="","",MAX($R$1:R372)+1)</f>
        <v/>
      </c>
    </row>
    <row r="374">
      <c r="A374" s="2" t="n"/>
      <c r="H374" s="3" t="n"/>
      <c r="I374" s="3" t="n"/>
      <c r="J374" s="4">
        <f>IF(AND(H374&lt;&gt;"",I374&lt;&gt;""),(I374-H374)*24,"")</f>
        <v/>
      </c>
      <c r="M374">
        <f>IF(C374&lt;&gt;"",C374,M373)</f>
        <v/>
      </c>
      <c r="N374">
        <f>IF(D374&lt;&gt;"",D374,N373)</f>
        <v/>
      </c>
      <c r="O374">
        <f>M374&amp;": "&amp;N374</f>
        <v/>
      </c>
      <c r="P374">
        <f>IF(O374="","",IF(COUNTIF($O$1:O373,O374)=0,MAX($P$1:P373)+1,""))</f>
        <v/>
      </c>
      <c r="Q374">
        <f>IF(A374="","",COUNTIF($A$2:A374,A374))</f>
        <v/>
      </c>
      <c r="R374">
        <f>IF(A374="","",MAX($R$1:R373)+1)</f>
        <v/>
      </c>
    </row>
    <row r="375">
      <c r="A375" s="2" t="n"/>
      <c r="H375" s="3" t="n"/>
      <c r="I375" s="3" t="n"/>
      <c r="J375" s="4">
        <f>IF(AND(H375&lt;&gt;"",I375&lt;&gt;""),(I375-H375)*24,"")</f>
        <v/>
      </c>
      <c r="M375">
        <f>IF(C375&lt;&gt;"",C375,M374)</f>
        <v/>
      </c>
      <c r="N375">
        <f>IF(D375&lt;&gt;"",D375,N374)</f>
        <v/>
      </c>
      <c r="O375">
        <f>M375&amp;": "&amp;N375</f>
        <v/>
      </c>
      <c r="P375">
        <f>IF(O375="","",IF(COUNTIF($O$1:O374,O375)=0,MAX($P$1:P374)+1,""))</f>
        <v/>
      </c>
      <c r="Q375">
        <f>IF(A375="","",COUNTIF($A$2:A375,A375))</f>
        <v/>
      </c>
      <c r="R375">
        <f>IF(A375="","",MAX($R$1:R374)+1)</f>
        <v/>
      </c>
    </row>
    <row r="376">
      <c r="A376" s="2" t="n"/>
      <c r="H376" s="3" t="n"/>
      <c r="I376" s="3" t="n"/>
      <c r="J376" s="4">
        <f>IF(AND(H376&lt;&gt;"",I376&lt;&gt;""),(I376-H376)*24,"")</f>
        <v/>
      </c>
      <c r="M376">
        <f>IF(C376&lt;&gt;"",C376,M375)</f>
        <v/>
      </c>
      <c r="N376">
        <f>IF(D376&lt;&gt;"",D376,N375)</f>
        <v/>
      </c>
      <c r="O376">
        <f>M376&amp;": "&amp;N376</f>
        <v/>
      </c>
      <c r="P376">
        <f>IF(O376="","",IF(COUNTIF($O$1:O375,O376)=0,MAX($P$1:P375)+1,""))</f>
        <v/>
      </c>
      <c r="Q376">
        <f>IF(A376="","",COUNTIF($A$2:A376,A376))</f>
        <v/>
      </c>
      <c r="R376">
        <f>IF(A376="","",MAX($R$1:R375)+1)</f>
        <v/>
      </c>
    </row>
    <row r="377">
      <c r="A377" s="2" t="n"/>
      <c r="H377" s="3" t="n"/>
      <c r="I377" s="3" t="n"/>
      <c r="J377" s="4">
        <f>IF(AND(H377&lt;&gt;"",I377&lt;&gt;""),(I377-H377)*24,"")</f>
        <v/>
      </c>
      <c r="M377">
        <f>IF(C377&lt;&gt;"",C377,M376)</f>
        <v/>
      </c>
      <c r="N377">
        <f>IF(D377&lt;&gt;"",D377,N376)</f>
        <v/>
      </c>
      <c r="O377">
        <f>M377&amp;": "&amp;N377</f>
        <v/>
      </c>
      <c r="P377">
        <f>IF(O377="","",IF(COUNTIF($O$1:O376,O377)=0,MAX($P$1:P376)+1,""))</f>
        <v/>
      </c>
      <c r="Q377">
        <f>IF(A377="","",COUNTIF($A$2:A377,A377))</f>
        <v/>
      </c>
      <c r="R377">
        <f>IF(A377="","",MAX($R$1:R376)+1)</f>
        <v/>
      </c>
    </row>
    <row r="378">
      <c r="A378" s="2" t="n"/>
      <c r="H378" s="3" t="n"/>
      <c r="I378" s="3" t="n"/>
      <c r="J378" s="4">
        <f>IF(AND(H378&lt;&gt;"",I378&lt;&gt;""),(I378-H378)*24,"")</f>
        <v/>
      </c>
      <c r="M378">
        <f>IF(C378&lt;&gt;"",C378,M377)</f>
        <v/>
      </c>
      <c r="N378">
        <f>IF(D378&lt;&gt;"",D378,N377)</f>
        <v/>
      </c>
      <c r="O378">
        <f>M378&amp;": "&amp;N378</f>
        <v/>
      </c>
      <c r="P378">
        <f>IF(O378="","",IF(COUNTIF($O$1:O377,O378)=0,MAX($P$1:P377)+1,""))</f>
        <v/>
      </c>
      <c r="Q378">
        <f>IF(A378="","",COUNTIF($A$2:A378,A378))</f>
        <v/>
      </c>
      <c r="R378">
        <f>IF(A378="","",MAX($R$1:R377)+1)</f>
        <v/>
      </c>
    </row>
    <row r="379">
      <c r="A379" s="2" t="n"/>
      <c r="H379" s="3" t="n"/>
      <c r="I379" s="3" t="n"/>
      <c r="J379" s="4">
        <f>IF(AND(H379&lt;&gt;"",I379&lt;&gt;""),(I379-H379)*24,"")</f>
        <v/>
      </c>
      <c r="M379">
        <f>IF(C379&lt;&gt;"",C379,M378)</f>
        <v/>
      </c>
      <c r="N379">
        <f>IF(D379&lt;&gt;"",D379,N378)</f>
        <v/>
      </c>
      <c r="O379">
        <f>M379&amp;": "&amp;N379</f>
        <v/>
      </c>
      <c r="P379">
        <f>IF(O379="","",IF(COUNTIF($O$1:O378,O379)=0,MAX($P$1:P378)+1,""))</f>
        <v/>
      </c>
      <c r="Q379">
        <f>IF(A379="","",COUNTIF($A$2:A379,A379))</f>
        <v/>
      </c>
      <c r="R379">
        <f>IF(A379="","",MAX($R$1:R378)+1)</f>
        <v/>
      </c>
    </row>
    <row r="380">
      <c r="A380" s="2" t="n"/>
      <c r="H380" s="3" t="n"/>
      <c r="I380" s="3" t="n"/>
      <c r="J380" s="4">
        <f>IF(AND(H380&lt;&gt;"",I380&lt;&gt;""),(I380-H380)*24,"")</f>
        <v/>
      </c>
      <c r="M380">
        <f>IF(C380&lt;&gt;"",C380,M379)</f>
        <v/>
      </c>
      <c r="N380">
        <f>IF(D380&lt;&gt;"",D380,N379)</f>
        <v/>
      </c>
      <c r="O380">
        <f>M380&amp;": "&amp;N380</f>
        <v/>
      </c>
      <c r="P380">
        <f>IF(O380="","",IF(COUNTIF($O$1:O379,O380)=0,MAX($P$1:P379)+1,""))</f>
        <v/>
      </c>
      <c r="Q380">
        <f>IF(A380="","",COUNTIF($A$2:A380,A380))</f>
        <v/>
      </c>
      <c r="R380">
        <f>IF(A380="","",MAX($R$1:R379)+1)</f>
        <v/>
      </c>
    </row>
    <row r="381">
      <c r="A381" s="2" t="n"/>
      <c r="H381" s="3" t="n"/>
      <c r="I381" s="3" t="n"/>
      <c r="J381" s="4">
        <f>IF(AND(H381&lt;&gt;"",I381&lt;&gt;""),(I381-H381)*24,"")</f>
        <v/>
      </c>
      <c r="M381">
        <f>IF(C381&lt;&gt;"",C381,M380)</f>
        <v/>
      </c>
      <c r="N381">
        <f>IF(D381&lt;&gt;"",D381,N380)</f>
        <v/>
      </c>
      <c r="O381">
        <f>M381&amp;": "&amp;N381</f>
        <v/>
      </c>
      <c r="P381">
        <f>IF(O381="","",IF(COUNTIF($O$1:O380,O381)=0,MAX($P$1:P380)+1,""))</f>
        <v/>
      </c>
      <c r="Q381">
        <f>IF(A381="","",COUNTIF($A$2:A381,A381))</f>
        <v/>
      </c>
      <c r="R381">
        <f>IF(A381="","",MAX($R$1:R380)+1)</f>
        <v/>
      </c>
    </row>
    <row r="382">
      <c r="A382" s="2" t="n"/>
      <c r="H382" s="3" t="n"/>
      <c r="I382" s="3" t="n"/>
      <c r="J382" s="4">
        <f>IF(AND(H382&lt;&gt;"",I382&lt;&gt;""),(I382-H382)*24,"")</f>
        <v/>
      </c>
      <c r="M382">
        <f>IF(C382&lt;&gt;"",C382,M381)</f>
        <v/>
      </c>
      <c r="N382">
        <f>IF(D382&lt;&gt;"",D382,N381)</f>
        <v/>
      </c>
      <c r="O382">
        <f>M382&amp;": "&amp;N382</f>
        <v/>
      </c>
      <c r="P382">
        <f>IF(O382="","",IF(COUNTIF($O$1:O381,O382)=0,MAX($P$1:P381)+1,""))</f>
        <v/>
      </c>
      <c r="Q382">
        <f>IF(A382="","",COUNTIF($A$2:A382,A382))</f>
        <v/>
      </c>
      <c r="R382">
        <f>IF(A382="","",MAX($R$1:R381)+1)</f>
        <v/>
      </c>
    </row>
    <row r="383">
      <c r="A383" s="2" t="n"/>
      <c r="H383" s="3" t="n"/>
      <c r="I383" s="3" t="n"/>
      <c r="J383" s="4">
        <f>IF(AND(H383&lt;&gt;"",I383&lt;&gt;""),(I383-H383)*24,"")</f>
        <v/>
      </c>
      <c r="M383">
        <f>IF(C383&lt;&gt;"",C383,M382)</f>
        <v/>
      </c>
      <c r="N383">
        <f>IF(D383&lt;&gt;"",D383,N382)</f>
        <v/>
      </c>
      <c r="O383">
        <f>M383&amp;": "&amp;N383</f>
        <v/>
      </c>
      <c r="P383">
        <f>IF(O383="","",IF(COUNTIF($O$1:O382,O383)=0,MAX($P$1:P382)+1,""))</f>
        <v/>
      </c>
      <c r="Q383">
        <f>IF(A383="","",COUNTIF($A$2:A383,A383))</f>
        <v/>
      </c>
      <c r="R383">
        <f>IF(A383="","",MAX($R$1:R382)+1)</f>
        <v/>
      </c>
    </row>
    <row r="384">
      <c r="A384" s="2" t="n"/>
      <c r="H384" s="3" t="n"/>
      <c r="I384" s="3" t="n"/>
      <c r="J384" s="4">
        <f>IF(AND(H384&lt;&gt;"",I384&lt;&gt;""),(I384-H384)*24,"")</f>
        <v/>
      </c>
      <c r="M384">
        <f>IF(C384&lt;&gt;"",C384,M383)</f>
        <v/>
      </c>
      <c r="N384">
        <f>IF(D384&lt;&gt;"",D384,N383)</f>
        <v/>
      </c>
      <c r="O384">
        <f>M384&amp;": "&amp;N384</f>
        <v/>
      </c>
      <c r="P384">
        <f>IF(O384="","",IF(COUNTIF($O$1:O383,O384)=0,MAX($P$1:P383)+1,""))</f>
        <v/>
      </c>
      <c r="Q384">
        <f>IF(A384="","",COUNTIF($A$2:A384,A384))</f>
        <v/>
      </c>
      <c r="R384">
        <f>IF(A384="","",MAX($R$1:R383)+1)</f>
        <v/>
      </c>
    </row>
    <row r="385">
      <c r="A385" s="2" t="n"/>
      <c r="H385" s="3" t="n"/>
      <c r="I385" s="3" t="n"/>
      <c r="J385" s="4">
        <f>IF(AND(H385&lt;&gt;"",I385&lt;&gt;""),(I385-H385)*24,"")</f>
        <v/>
      </c>
      <c r="M385">
        <f>IF(C385&lt;&gt;"",C385,M384)</f>
        <v/>
      </c>
      <c r="N385">
        <f>IF(D385&lt;&gt;"",D385,N384)</f>
        <v/>
      </c>
      <c r="O385">
        <f>M385&amp;": "&amp;N385</f>
        <v/>
      </c>
      <c r="P385">
        <f>IF(O385="","",IF(COUNTIF($O$1:O384,O385)=0,MAX($P$1:P384)+1,""))</f>
        <v/>
      </c>
      <c r="Q385">
        <f>IF(A385="","",COUNTIF($A$2:A385,A385))</f>
        <v/>
      </c>
      <c r="R385">
        <f>IF(A385="","",MAX($R$1:R384)+1)</f>
        <v/>
      </c>
    </row>
    <row r="386">
      <c r="A386" s="2" t="n"/>
      <c r="H386" s="3" t="n"/>
      <c r="I386" s="3" t="n"/>
      <c r="J386" s="4">
        <f>IF(AND(H386&lt;&gt;"",I386&lt;&gt;""),(I386-H386)*24,"")</f>
        <v/>
      </c>
      <c r="M386">
        <f>IF(C386&lt;&gt;"",C386,M385)</f>
        <v/>
      </c>
      <c r="N386">
        <f>IF(D386&lt;&gt;"",D386,N385)</f>
        <v/>
      </c>
      <c r="O386">
        <f>M386&amp;": "&amp;N386</f>
        <v/>
      </c>
      <c r="P386">
        <f>IF(O386="","",IF(COUNTIF($O$1:O385,O386)=0,MAX($P$1:P385)+1,""))</f>
        <v/>
      </c>
      <c r="Q386">
        <f>IF(A386="","",COUNTIF($A$2:A386,A386))</f>
        <v/>
      </c>
      <c r="R386">
        <f>IF(A386="","",MAX($R$1:R385)+1)</f>
        <v/>
      </c>
    </row>
    <row r="387">
      <c r="A387" s="2" t="n"/>
      <c r="H387" s="3" t="n"/>
      <c r="I387" s="3" t="n"/>
      <c r="J387" s="4">
        <f>IF(AND(H387&lt;&gt;"",I387&lt;&gt;""),(I387-H387)*24,"")</f>
        <v/>
      </c>
      <c r="M387">
        <f>IF(C387&lt;&gt;"",C387,M386)</f>
        <v/>
      </c>
      <c r="N387">
        <f>IF(D387&lt;&gt;"",D387,N386)</f>
        <v/>
      </c>
      <c r="O387">
        <f>M387&amp;": "&amp;N387</f>
        <v/>
      </c>
      <c r="P387">
        <f>IF(O387="","",IF(COUNTIF($O$1:O386,O387)=0,MAX($P$1:P386)+1,""))</f>
        <v/>
      </c>
      <c r="Q387">
        <f>IF(A387="","",COUNTIF($A$2:A387,A387))</f>
        <v/>
      </c>
      <c r="R387">
        <f>IF(A387="","",MAX($R$1:R386)+1)</f>
        <v/>
      </c>
    </row>
    <row r="388">
      <c r="A388" s="2" t="n"/>
      <c r="H388" s="3" t="n"/>
      <c r="I388" s="3" t="n"/>
      <c r="J388" s="4">
        <f>IF(AND(H388&lt;&gt;"",I388&lt;&gt;""),(I388-H388)*24,"")</f>
        <v/>
      </c>
      <c r="M388">
        <f>IF(C388&lt;&gt;"",C388,M387)</f>
        <v/>
      </c>
      <c r="N388">
        <f>IF(D388&lt;&gt;"",D388,N387)</f>
        <v/>
      </c>
      <c r="O388">
        <f>M388&amp;": "&amp;N388</f>
        <v/>
      </c>
      <c r="P388">
        <f>IF(O388="","",IF(COUNTIF($O$1:O387,O388)=0,MAX($P$1:P387)+1,""))</f>
        <v/>
      </c>
      <c r="Q388">
        <f>IF(A388="","",COUNTIF($A$2:A388,A388))</f>
        <v/>
      </c>
      <c r="R388">
        <f>IF(A388="","",MAX($R$1:R387)+1)</f>
        <v/>
      </c>
    </row>
    <row r="389">
      <c r="A389" s="2" t="n"/>
      <c r="H389" s="3" t="n"/>
      <c r="I389" s="3" t="n"/>
      <c r="J389" s="4">
        <f>IF(AND(H389&lt;&gt;"",I389&lt;&gt;""),(I389-H389)*24,"")</f>
        <v/>
      </c>
      <c r="M389">
        <f>IF(C389&lt;&gt;"",C389,M388)</f>
        <v/>
      </c>
      <c r="N389">
        <f>IF(D389&lt;&gt;"",D389,N388)</f>
        <v/>
      </c>
      <c r="O389">
        <f>M389&amp;": "&amp;N389</f>
        <v/>
      </c>
      <c r="P389">
        <f>IF(O389="","",IF(COUNTIF($O$1:O388,O389)=0,MAX($P$1:P388)+1,""))</f>
        <v/>
      </c>
      <c r="Q389">
        <f>IF(A389="","",COUNTIF($A$2:A389,A389))</f>
        <v/>
      </c>
      <c r="R389">
        <f>IF(A389="","",MAX($R$1:R388)+1)</f>
        <v/>
      </c>
    </row>
    <row r="390">
      <c r="A390" s="2" t="n"/>
      <c r="H390" s="3" t="n"/>
      <c r="I390" s="3" t="n"/>
      <c r="J390" s="4">
        <f>IF(AND(H390&lt;&gt;"",I390&lt;&gt;""),(I390-H390)*24,"")</f>
        <v/>
      </c>
      <c r="M390">
        <f>IF(C390&lt;&gt;"",C390,M389)</f>
        <v/>
      </c>
      <c r="N390">
        <f>IF(D390&lt;&gt;"",D390,N389)</f>
        <v/>
      </c>
      <c r="O390">
        <f>M390&amp;": "&amp;N390</f>
        <v/>
      </c>
      <c r="P390">
        <f>IF(O390="","",IF(COUNTIF($O$1:O389,O390)=0,MAX($P$1:P389)+1,""))</f>
        <v/>
      </c>
      <c r="Q390">
        <f>IF(A390="","",COUNTIF($A$2:A390,A390))</f>
        <v/>
      </c>
      <c r="R390">
        <f>IF(A390="","",MAX($R$1:R389)+1)</f>
        <v/>
      </c>
    </row>
    <row r="391">
      <c r="A391" s="2" t="n"/>
      <c r="H391" s="3" t="n"/>
      <c r="I391" s="3" t="n"/>
      <c r="J391" s="4">
        <f>IF(AND(H391&lt;&gt;"",I391&lt;&gt;""),(I391-H391)*24,"")</f>
        <v/>
      </c>
      <c r="M391">
        <f>IF(C391&lt;&gt;"",C391,M390)</f>
        <v/>
      </c>
      <c r="N391">
        <f>IF(D391&lt;&gt;"",D391,N390)</f>
        <v/>
      </c>
      <c r="O391">
        <f>M391&amp;": "&amp;N391</f>
        <v/>
      </c>
      <c r="P391">
        <f>IF(O391="","",IF(COUNTIF($O$1:O390,O391)=0,MAX($P$1:P390)+1,""))</f>
        <v/>
      </c>
      <c r="Q391">
        <f>IF(A391="","",COUNTIF($A$2:A391,A391))</f>
        <v/>
      </c>
      <c r="R391">
        <f>IF(A391="","",MAX($R$1:R390)+1)</f>
        <v/>
      </c>
    </row>
    <row r="392">
      <c r="A392" s="2" t="n"/>
      <c r="H392" s="3" t="n"/>
      <c r="I392" s="3" t="n"/>
      <c r="J392" s="4">
        <f>IF(AND(H392&lt;&gt;"",I392&lt;&gt;""),(I392-H392)*24,"")</f>
        <v/>
      </c>
      <c r="M392">
        <f>IF(C392&lt;&gt;"",C392,M391)</f>
        <v/>
      </c>
      <c r="N392">
        <f>IF(D392&lt;&gt;"",D392,N391)</f>
        <v/>
      </c>
      <c r="O392">
        <f>M392&amp;": "&amp;N392</f>
        <v/>
      </c>
      <c r="P392">
        <f>IF(O392="","",IF(COUNTIF($O$1:O391,O392)=0,MAX($P$1:P391)+1,""))</f>
        <v/>
      </c>
      <c r="Q392">
        <f>IF(A392="","",COUNTIF($A$2:A392,A392))</f>
        <v/>
      </c>
      <c r="R392">
        <f>IF(A392="","",MAX($R$1:R391)+1)</f>
        <v/>
      </c>
    </row>
    <row r="393">
      <c r="A393" s="2" t="n"/>
      <c r="H393" s="3" t="n"/>
      <c r="I393" s="3" t="n"/>
      <c r="J393" s="4">
        <f>IF(AND(H393&lt;&gt;"",I393&lt;&gt;""),(I393-H393)*24,"")</f>
        <v/>
      </c>
      <c r="M393">
        <f>IF(C393&lt;&gt;"",C393,M392)</f>
        <v/>
      </c>
      <c r="N393">
        <f>IF(D393&lt;&gt;"",D393,N392)</f>
        <v/>
      </c>
      <c r="O393">
        <f>M393&amp;": "&amp;N393</f>
        <v/>
      </c>
      <c r="P393">
        <f>IF(O393="","",IF(COUNTIF($O$1:O392,O393)=0,MAX($P$1:P392)+1,""))</f>
        <v/>
      </c>
      <c r="Q393">
        <f>IF(A393="","",COUNTIF($A$2:A393,A393))</f>
        <v/>
      </c>
      <c r="R393">
        <f>IF(A393="","",MAX($R$1:R392)+1)</f>
        <v/>
      </c>
    </row>
    <row r="394">
      <c r="A394" s="2" t="n"/>
      <c r="H394" s="3" t="n"/>
      <c r="I394" s="3" t="n"/>
      <c r="J394" s="4">
        <f>IF(AND(H394&lt;&gt;"",I394&lt;&gt;""),(I394-H394)*24,"")</f>
        <v/>
      </c>
      <c r="M394">
        <f>IF(C394&lt;&gt;"",C394,M393)</f>
        <v/>
      </c>
      <c r="N394">
        <f>IF(D394&lt;&gt;"",D394,N393)</f>
        <v/>
      </c>
      <c r="O394">
        <f>M394&amp;": "&amp;N394</f>
        <v/>
      </c>
      <c r="P394">
        <f>IF(O394="","",IF(COUNTIF($O$1:O393,O394)=0,MAX($P$1:P393)+1,""))</f>
        <v/>
      </c>
      <c r="Q394">
        <f>IF(A394="","",COUNTIF($A$2:A394,A394))</f>
        <v/>
      </c>
      <c r="R394">
        <f>IF(A394="","",MAX($R$1:R393)+1)</f>
        <v/>
      </c>
    </row>
    <row r="395">
      <c r="A395" s="2" t="n"/>
      <c r="H395" s="3" t="n"/>
      <c r="I395" s="3" t="n"/>
      <c r="J395" s="4">
        <f>IF(AND(H395&lt;&gt;"",I395&lt;&gt;""),(I395-H395)*24,"")</f>
        <v/>
      </c>
      <c r="M395">
        <f>IF(C395&lt;&gt;"",C395,M394)</f>
        <v/>
      </c>
      <c r="N395">
        <f>IF(D395&lt;&gt;"",D395,N394)</f>
        <v/>
      </c>
      <c r="O395">
        <f>M395&amp;": "&amp;N395</f>
        <v/>
      </c>
      <c r="P395">
        <f>IF(O395="","",IF(COUNTIF($O$1:O394,O395)=0,MAX($P$1:P394)+1,""))</f>
        <v/>
      </c>
      <c r="Q395">
        <f>IF(A395="","",COUNTIF($A$2:A395,A395))</f>
        <v/>
      </c>
      <c r="R395">
        <f>IF(A395="","",MAX($R$1:R394)+1)</f>
        <v/>
      </c>
    </row>
    <row r="396">
      <c r="A396" s="2" t="n"/>
      <c r="H396" s="3" t="n"/>
      <c r="I396" s="3" t="n"/>
      <c r="J396" s="4">
        <f>IF(AND(H396&lt;&gt;"",I396&lt;&gt;""),(I396-H396)*24,"")</f>
        <v/>
      </c>
      <c r="M396">
        <f>IF(C396&lt;&gt;"",C396,M395)</f>
        <v/>
      </c>
      <c r="N396">
        <f>IF(D396&lt;&gt;"",D396,N395)</f>
        <v/>
      </c>
      <c r="O396">
        <f>M396&amp;": "&amp;N396</f>
        <v/>
      </c>
      <c r="P396">
        <f>IF(O396="","",IF(COUNTIF($O$1:O395,O396)=0,MAX($P$1:P395)+1,""))</f>
        <v/>
      </c>
      <c r="Q396">
        <f>IF(A396="","",COUNTIF($A$2:A396,A396))</f>
        <v/>
      </c>
      <c r="R396">
        <f>IF(A396="","",MAX($R$1:R395)+1)</f>
        <v/>
      </c>
    </row>
    <row r="397">
      <c r="A397" s="2" t="n"/>
      <c r="H397" s="3" t="n"/>
      <c r="I397" s="3" t="n"/>
      <c r="J397" s="4">
        <f>IF(AND(H397&lt;&gt;"",I397&lt;&gt;""),(I397-H397)*24,"")</f>
        <v/>
      </c>
      <c r="M397">
        <f>IF(C397&lt;&gt;"",C397,M396)</f>
        <v/>
      </c>
      <c r="N397">
        <f>IF(D397&lt;&gt;"",D397,N396)</f>
        <v/>
      </c>
      <c r="O397">
        <f>M397&amp;": "&amp;N397</f>
        <v/>
      </c>
      <c r="P397">
        <f>IF(O397="","",IF(COUNTIF($O$1:O396,O397)=0,MAX($P$1:P396)+1,""))</f>
        <v/>
      </c>
      <c r="Q397">
        <f>IF(A397="","",COUNTIF($A$2:A397,A397))</f>
        <v/>
      </c>
      <c r="R397">
        <f>IF(A397="","",MAX($R$1:R396)+1)</f>
        <v/>
      </c>
    </row>
    <row r="398">
      <c r="A398" s="2" t="n"/>
      <c r="H398" s="3" t="n"/>
      <c r="I398" s="3" t="n"/>
      <c r="J398" s="4">
        <f>IF(AND(H398&lt;&gt;"",I398&lt;&gt;""),(I398-H398)*24,"")</f>
        <v/>
      </c>
      <c r="M398">
        <f>IF(C398&lt;&gt;"",C398,M397)</f>
        <v/>
      </c>
      <c r="N398">
        <f>IF(D398&lt;&gt;"",D398,N397)</f>
        <v/>
      </c>
      <c r="O398">
        <f>M398&amp;": "&amp;N398</f>
        <v/>
      </c>
      <c r="P398">
        <f>IF(O398="","",IF(COUNTIF($O$1:O397,O398)=0,MAX($P$1:P397)+1,""))</f>
        <v/>
      </c>
      <c r="Q398">
        <f>IF(A398="","",COUNTIF($A$2:A398,A398))</f>
        <v/>
      </c>
      <c r="R398">
        <f>IF(A398="","",MAX($R$1:R397)+1)</f>
        <v/>
      </c>
    </row>
    <row r="399">
      <c r="A399" s="2" t="n"/>
      <c r="H399" s="3" t="n"/>
      <c r="I399" s="3" t="n"/>
      <c r="J399" s="4">
        <f>IF(AND(H399&lt;&gt;"",I399&lt;&gt;""),(I399-H399)*24,"")</f>
        <v/>
      </c>
      <c r="M399">
        <f>IF(C399&lt;&gt;"",C399,M398)</f>
        <v/>
      </c>
      <c r="N399">
        <f>IF(D399&lt;&gt;"",D399,N398)</f>
        <v/>
      </c>
      <c r="O399">
        <f>M399&amp;": "&amp;N399</f>
        <v/>
      </c>
      <c r="P399">
        <f>IF(O399="","",IF(COUNTIF($O$1:O398,O399)=0,MAX($P$1:P398)+1,""))</f>
        <v/>
      </c>
      <c r="Q399">
        <f>IF(A399="","",COUNTIF($A$2:A399,A399))</f>
        <v/>
      </c>
      <c r="R399">
        <f>IF(A399="","",MAX($R$1:R398)+1)</f>
        <v/>
      </c>
    </row>
    <row r="400">
      <c r="A400" s="2" t="n"/>
      <c r="H400" s="3" t="n"/>
      <c r="I400" s="3" t="n"/>
      <c r="J400" s="4">
        <f>IF(AND(H400&lt;&gt;"",I400&lt;&gt;""),(I400-H400)*24,"")</f>
        <v/>
      </c>
      <c r="M400">
        <f>IF(C400&lt;&gt;"",C400,M399)</f>
        <v/>
      </c>
      <c r="N400">
        <f>IF(D400&lt;&gt;"",D400,N399)</f>
        <v/>
      </c>
      <c r="O400">
        <f>M400&amp;": "&amp;N400</f>
        <v/>
      </c>
      <c r="P400">
        <f>IF(O400="","",IF(COUNTIF($O$1:O399,O400)=0,MAX($P$1:P399)+1,""))</f>
        <v/>
      </c>
      <c r="Q400">
        <f>IF(A400="","",COUNTIF($A$2:A400,A400))</f>
        <v/>
      </c>
      <c r="R400">
        <f>IF(A400="","",MAX($R$1:R399)+1)</f>
        <v/>
      </c>
    </row>
    <row r="401">
      <c r="A401" s="2" t="n"/>
      <c r="H401" s="3" t="n"/>
      <c r="I401" s="3" t="n"/>
      <c r="J401" s="4">
        <f>IF(AND(H401&lt;&gt;"",I401&lt;&gt;""),(I401-H401)*24,"")</f>
        <v/>
      </c>
      <c r="M401">
        <f>IF(C401&lt;&gt;"",C401,M400)</f>
        <v/>
      </c>
      <c r="N401">
        <f>IF(D401&lt;&gt;"",D401,N400)</f>
        <v/>
      </c>
      <c r="O401">
        <f>M401&amp;": "&amp;N401</f>
        <v/>
      </c>
      <c r="P401">
        <f>IF(O401="","",IF(COUNTIF($O$1:O400,O401)=0,MAX($P$1:P400)+1,""))</f>
        <v/>
      </c>
      <c r="Q401">
        <f>IF(A401="","",COUNTIF($A$2:A401,A401))</f>
        <v/>
      </c>
      <c r="R401">
        <f>IF(A401="","",MAX($R$1:R400)+1)</f>
        <v/>
      </c>
    </row>
    <row r="402">
      <c r="A402" s="2" t="n"/>
      <c r="H402" s="3" t="n"/>
      <c r="I402" s="3" t="n"/>
      <c r="J402" s="4">
        <f>IF(AND(H402&lt;&gt;"",I402&lt;&gt;""),(I402-H402)*24,"")</f>
        <v/>
      </c>
      <c r="M402">
        <f>IF(C402&lt;&gt;"",C402,M401)</f>
        <v/>
      </c>
      <c r="N402">
        <f>IF(D402&lt;&gt;"",D402,N401)</f>
        <v/>
      </c>
      <c r="O402">
        <f>M402&amp;": "&amp;N402</f>
        <v/>
      </c>
      <c r="P402">
        <f>IF(O402="","",IF(COUNTIF($O$1:O401,O402)=0,MAX($P$1:P401)+1,""))</f>
        <v/>
      </c>
      <c r="Q402">
        <f>IF(A402="","",COUNTIF($A$2:A402,A402))</f>
        <v/>
      </c>
      <c r="R402">
        <f>IF(A402="","",MAX($R$1:R401)+1)</f>
        <v/>
      </c>
    </row>
    <row r="403">
      <c r="A403" s="2" t="n"/>
      <c r="H403" s="3" t="n"/>
      <c r="I403" s="3" t="n"/>
      <c r="J403" s="4">
        <f>IF(AND(H403&lt;&gt;"",I403&lt;&gt;""),(I403-H403)*24,"")</f>
        <v/>
      </c>
      <c r="M403">
        <f>IF(C403&lt;&gt;"",C403,M402)</f>
        <v/>
      </c>
      <c r="N403">
        <f>IF(D403&lt;&gt;"",D403,N402)</f>
        <v/>
      </c>
      <c r="O403">
        <f>M403&amp;": "&amp;N403</f>
        <v/>
      </c>
      <c r="P403">
        <f>IF(O403="","",IF(COUNTIF($O$1:O402,O403)=0,MAX($P$1:P402)+1,""))</f>
        <v/>
      </c>
      <c r="Q403">
        <f>IF(A403="","",COUNTIF($A$2:A403,A403))</f>
        <v/>
      </c>
      <c r="R403">
        <f>IF(A403="","",MAX($R$1:R402)+1)</f>
        <v/>
      </c>
    </row>
    <row r="404">
      <c r="A404" s="2" t="n"/>
      <c r="H404" s="3" t="n"/>
      <c r="I404" s="3" t="n"/>
      <c r="J404" s="4">
        <f>IF(AND(H404&lt;&gt;"",I404&lt;&gt;""),(I404-H404)*24,"")</f>
        <v/>
      </c>
      <c r="M404">
        <f>IF(C404&lt;&gt;"",C404,M403)</f>
        <v/>
      </c>
      <c r="N404">
        <f>IF(D404&lt;&gt;"",D404,N403)</f>
        <v/>
      </c>
      <c r="O404">
        <f>M404&amp;": "&amp;N404</f>
        <v/>
      </c>
      <c r="P404">
        <f>IF(O404="","",IF(COUNTIF($O$1:O403,O404)=0,MAX($P$1:P403)+1,""))</f>
        <v/>
      </c>
      <c r="Q404">
        <f>IF(A404="","",COUNTIF($A$2:A404,A404))</f>
        <v/>
      </c>
      <c r="R404">
        <f>IF(A404="","",MAX($R$1:R403)+1)</f>
        <v/>
      </c>
    </row>
    <row r="405">
      <c r="A405" s="2" t="n"/>
      <c r="H405" s="3" t="n"/>
      <c r="I405" s="3" t="n"/>
      <c r="J405" s="4">
        <f>IF(AND(H405&lt;&gt;"",I405&lt;&gt;""),(I405-H405)*24,"")</f>
        <v/>
      </c>
      <c r="M405">
        <f>IF(C405&lt;&gt;"",C405,M404)</f>
        <v/>
      </c>
      <c r="N405">
        <f>IF(D405&lt;&gt;"",D405,N404)</f>
        <v/>
      </c>
      <c r="O405">
        <f>M405&amp;": "&amp;N405</f>
        <v/>
      </c>
      <c r="P405">
        <f>IF(O405="","",IF(COUNTIF($O$1:O404,O405)=0,MAX($P$1:P404)+1,""))</f>
        <v/>
      </c>
      <c r="Q405">
        <f>IF(A405="","",COUNTIF($A$2:A405,A405))</f>
        <v/>
      </c>
      <c r="R405">
        <f>IF(A405="","",MAX($R$1:R404)+1)</f>
        <v/>
      </c>
    </row>
    <row r="406">
      <c r="A406" s="2" t="n"/>
      <c r="H406" s="3" t="n"/>
      <c r="I406" s="3" t="n"/>
      <c r="J406" s="4">
        <f>IF(AND(H406&lt;&gt;"",I406&lt;&gt;""),(I406-H406)*24,"")</f>
        <v/>
      </c>
      <c r="M406">
        <f>IF(C406&lt;&gt;"",C406,M405)</f>
        <v/>
      </c>
      <c r="N406">
        <f>IF(D406&lt;&gt;"",D406,N405)</f>
        <v/>
      </c>
      <c r="O406">
        <f>M406&amp;": "&amp;N406</f>
        <v/>
      </c>
      <c r="P406">
        <f>IF(O406="","",IF(COUNTIF($O$1:O405,O406)=0,MAX($P$1:P405)+1,""))</f>
        <v/>
      </c>
      <c r="Q406">
        <f>IF(A406="","",COUNTIF($A$2:A406,A406))</f>
        <v/>
      </c>
      <c r="R406">
        <f>IF(A406="","",MAX($R$1:R405)+1)</f>
        <v/>
      </c>
    </row>
    <row r="407">
      <c r="A407" s="2" t="n"/>
      <c r="H407" s="3" t="n"/>
      <c r="I407" s="3" t="n"/>
      <c r="J407" s="4">
        <f>IF(AND(H407&lt;&gt;"",I407&lt;&gt;""),(I407-H407)*24,"")</f>
        <v/>
      </c>
      <c r="M407">
        <f>IF(C407&lt;&gt;"",C407,M406)</f>
        <v/>
      </c>
      <c r="N407">
        <f>IF(D407&lt;&gt;"",D407,N406)</f>
        <v/>
      </c>
      <c r="O407">
        <f>M407&amp;": "&amp;N407</f>
        <v/>
      </c>
      <c r="P407">
        <f>IF(O407="","",IF(COUNTIF($O$1:O406,O407)=0,MAX($P$1:P406)+1,""))</f>
        <v/>
      </c>
      <c r="Q407">
        <f>IF(A407="","",COUNTIF($A$2:A407,A407))</f>
        <v/>
      </c>
      <c r="R407">
        <f>IF(A407="","",MAX($R$1:R406)+1)</f>
        <v/>
      </c>
    </row>
    <row r="408">
      <c r="A408" s="2" t="n"/>
      <c r="H408" s="3" t="n"/>
      <c r="I408" s="3" t="n"/>
      <c r="J408" s="4">
        <f>IF(AND(H408&lt;&gt;"",I408&lt;&gt;""),(I408-H408)*24,"")</f>
        <v/>
      </c>
      <c r="M408">
        <f>IF(C408&lt;&gt;"",C408,M407)</f>
        <v/>
      </c>
      <c r="N408">
        <f>IF(D408&lt;&gt;"",D408,N407)</f>
        <v/>
      </c>
      <c r="O408">
        <f>M408&amp;": "&amp;N408</f>
        <v/>
      </c>
      <c r="P408">
        <f>IF(O408="","",IF(COUNTIF($O$1:O407,O408)=0,MAX($P$1:P407)+1,""))</f>
        <v/>
      </c>
      <c r="Q408">
        <f>IF(A408="","",COUNTIF($A$2:A408,A408))</f>
        <v/>
      </c>
      <c r="R408">
        <f>IF(A408="","",MAX($R$1:R407)+1)</f>
        <v/>
      </c>
    </row>
    <row r="409">
      <c r="A409" s="2" t="n"/>
      <c r="H409" s="3" t="n"/>
      <c r="I409" s="3" t="n"/>
      <c r="J409" s="4">
        <f>IF(AND(H409&lt;&gt;"",I409&lt;&gt;""),(I409-H409)*24,"")</f>
        <v/>
      </c>
      <c r="M409">
        <f>IF(C409&lt;&gt;"",C409,M408)</f>
        <v/>
      </c>
      <c r="N409">
        <f>IF(D409&lt;&gt;"",D409,N408)</f>
        <v/>
      </c>
      <c r="O409">
        <f>M409&amp;": "&amp;N409</f>
        <v/>
      </c>
      <c r="P409">
        <f>IF(O409="","",IF(COUNTIF($O$1:O408,O409)=0,MAX($P$1:P408)+1,""))</f>
        <v/>
      </c>
      <c r="Q409">
        <f>IF(A409="","",COUNTIF($A$2:A409,A409))</f>
        <v/>
      </c>
      <c r="R409">
        <f>IF(A409="","",MAX($R$1:R408)+1)</f>
        <v/>
      </c>
    </row>
    <row r="410">
      <c r="A410" s="2" t="n"/>
      <c r="H410" s="3" t="n"/>
      <c r="I410" s="3" t="n"/>
      <c r="J410" s="4">
        <f>IF(AND(H410&lt;&gt;"",I410&lt;&gt;""),(I410-H410)*24,"")</f>
        <v/>
      </c>
      <c r="M410">
        <f>IF(C410&lt;&gt;"",C410,M409)</f>
        <v/>
      </c>
      <c r="N410">
        <f>IF(D410&lt;&gt;"",D410,N409)</f>
        <v/>
      </c>
      <c r="O410">
        <f>M410&amp;": "&amp;N410</f>
        <v/>
      </c>
      <c r="P410">
        <f>IF(O410="","",IF(COUNTIF($O$1:O409,O410)=0,MAX($P$1:P409)+1,""))</f>
        <v/>
      </c>
      <c r="Q410">
        <f>IF(A410="","",COUNTIF($A$2:A410,A410))</f>
        <v/>
      </c>
      <c r="R410">
        <f>IF(A410="","",MAX($R$1:R409)+1)</f>
        <v/>
      </c>
    </row>
    <row r="411">
      <c r="A411" s="2" t="n"/>
      <c r="H411" s="3" t="n"/>
      <c r="I411" s="3" t="n"/>
      <c r="J411" s="4">
        <f>IF(AND(H411&lt;&gt;"",I411&lt;&gt;""),(I411-H411)*24,"")</f>
        <v/>
      </c>
      <c r="M411">
        <f>IF(C411&lt;&gt;"",C411,M410)</f>
        <v/>
      </c>
      <c r="N411">
        <f>IF(D411&lt;&gt;"",D411,N410)</f>
        <v/>
      </c>
      <c r="O411">
        <f>M411&amp;": "&amp;N411</f>
        <v/>
      </c>
      <c r="P411">
        <f>IF(O411="","",IF(COUNTIF($O$1:O410,O411)=0,MAX($P$1:P410)+1,""))</f>
        <v/>
      </c>
      <c r="Q411">
        <f>IF(A411="","",COUNTIF($A$2:A411,A411))</f>
        <v/>
      </c>
      <c r="R411">
        <f>IF(A411="","",MAX($R$1:R410)+1)</f>
        <v/>
      </c>
    </row>
    <row r="412">
      <c r="A412" s="2" t="n"/>
      <c r="H412" s="3" t="n"/>
      <c r="I412" s="3" t="n"/>
      <c r="J412" s="4">
        <f>IF(AND(H412&lt;&gt;"",I412&lt;&gt;""),(I412-H412)*24,"")</f>
        <v/>
      </c>
      <c r="M412">
        <f>IF(C412&lt;&gt;"",C412,M411)</f>
        <v/>
      </c>
      <c r="N412">
        <f>IF(D412&lt;&gt;"",D412,N411)</f>
        <v/>
      </c>
      <c r="O412">
        <f>M412&amp;": "&amp;N412</f>
        <v/>
      </c>
      <c r="P412">
        <f>IF(O412="","",IF(COUNTIF($O$1:O411,O412)=0,MAX($P$1:P411)+1,""))</f>
        <v/>
      </c>
      <c r="Q412">
        <f>IF(A412="","",COUNTIF($A$2:A412,A412))</f>
        <v/>
      </c>
      <c r="R412">
        <f>IF(A412="","",MAX($R$1:R411)+1)</f>
        <v/>
      </c>
    </row>
    <row r="413">
      <c r="A413" s="2" t="n"/>
      <c r="H413" s="3" t="n"/>
      <c r="I413" s="3" t="n"/>
      <c r="J413" s="4">
        <f>IF(AND(H413&lt;&gt;"",I413&lt;&gt;""),(I413-H413)*24,"")</f>
        <v/>
      </c>
      <c r="M413">
        <f>IF(C413&lt;&gt;"",C413,M412)</f>
        <v/>
      </c>
      <c r="N413">
        <f>IF(D413&lt;&gt;"",D413,N412)</f>
        <v/>
      </c>
      <c r="O413">
        <f>M413&amp;": "&amp;N413</f>
        <v/>
      </c>
      <c r="P413">
        <f>IF(O413="","",IF(COUNTIF($O$1:O412,O413)=0,MAX($P$1:P412)+1,""))</f>
        <v/>
      </c>
      <c r="Q413">
        <f>IF(A413="","",COUNTIF($A$2:A413,A413))</f>
        <v/>
      </c>
      <c r="R413">
        <f>IF(A413="","",MAX($R$1:R412)+1)</f>
        <v/>
      </c>
    </row>
    <row r="414">
      <c r="A414" s="2" t="n"/>
      <c r="H414" s="3" t="n"/>
      <c r="I414" s="3" t="n"/>
      <c r="J414" s="4">
        <f>IF(AND(H414&lt;&gt;"",I414&lt;&gt;""),(I414-H414)*24,"")</f>
        <v/>
      </c>
      <c r="M414">
        <f>IF(C414&lt;&gt;"",C414,M413)</f>
        <v/>
      </c>
      <c r="N414">
        <f>IF(D414&lt;&gt;"",D414,N413)</f>
        <v/>
      </c>
      <c r="O414">
        <f>M414&amp;": "&amp;N414</f>
        <v/>
      </c>
      <c r="P414">
        <f>IF(O414="","",IF(COUNTIF($O$1:O413,O414)=0,MAX($P$1:P413)+1,""))</f>
        <v/>
      </c>
      <c r="Q414">
        <f>IF(A414="","",COUNTIF($A$2:A414,A414))</f>
        <v/>
      </c>
      <c r="R414">
        <f>IF(A414="","",MAX($R$1:R413)+1)</f>
        <v/>
      </c>
    </row>
    <row r="415">
      <c r="A415" s="2" t="n"/>
      <c r="H415" s="3" t="n"/>
      <c r="I415" s="3" t="n"/>
      <c r="J415" s="4">
        <f>IF(AND(H415&lt;&gt;"",I415&lt;&gt;""),(I415-H415)*24,"")</f>
        <v/>
      </c>
      <c r="M415">
        <f>IF(C415&lt;&gt;"",C415,M414)</f>
        <v/>
      </c>
      <c r="N415">
        <f>IF(D415&lt;&gt;"",D415,N414)</f>
        <v/>
      </c>
      <c r="O415">
        <f>M415&amp;": "&amp;N415</f>
        <v/>
      </c>
      <c r="P415">
        <f>IF(O415="","",IF(COUNTIF($O$1:O414,O415)=0,MAX($P$1:P414)+1,""))</f>
        <v/>
      </c>
      <c r="Q415">
        <f>IF(A415="","",COUNTIF($A$2:A415,A415))</f>
        <v/>
      </c>
      <c r="R415">
        <f>IF(A415="","",MAX($R$1:R414)+1)</f>
        <v/>
      </c>
    </row>
    <row r="416">
      <c r="A416" s="2" t="n"/>
      <c r="H416" s="3" t="n"/>
      <c r="I416" s="3" t="n"/>
      <c r="J416" s="4">
        <f>IF(AND(H416&lt;&gt;"",I416&lt;&gt;""),(I416-H416)*24,"")</f>
        <v/>
      </c>
      <c r="M416">
        <f>IF(C416&lt;&gt;"",C416,M415)</f>
        <v/>
      </c>
      <c r="N416">
        <f>IF(D416&lt;&gt;"",D416,N415)</f>
        <v/>
      </c>
      <c r="O416">
        <f>M416&amp;": "&amp;N416</f>
        <v/>
      </c>
      <c r="P416">
        <f>IF(O416="","",IF(COUNTIF($O$1:O415,O416)=0,MAX($P$1:P415)+1,""))</f>
        <v/>
      </c>
      <c r="Q416">
        <f>IF(A416="","",COUNTIF($A$2:A416,A416))</f>
        <v/>
      </c>
      <c r="R416">
        <f>IF(A416="","",MAX($R$1:R415)+1)</f>
        <v/>
      </c>
    </row>
    <row r="417">
      <c r="A417" s="2" t="n"/>
      <c r="H417" s="3" t="n"/>
      <c r="I417" s="3" t="n"/>
      <c r="J417" s="4">
        <f>IF(AND(H417&lt;&gt;"",I417&lt;&gt;""),(I417-H417)*24,"")</f>
        <v/>
      </c>
      <c r="M417">
        <f>IF(C417&lt;&gt;"",C417,M416)</f>
        <v/>
      </c>
      <c r="N417">
        <f>IF(D417&lt;&gt;"",D417,N416)</f>
        <v/>
      </c>
      <c r="O417">
        <f>M417&amp;": "&amp;N417</f>
        <v/>
      </c>
      <c r="P417">
        <f>IF(O417="","",IF(COUNTIF($O$1:O416,O417)=0,MAX($P$1:P416)+1,""))</f>
        <v/>
      </c>
      <c r="Q417">
        <f>IF(A417="","",COUNTIF($A$2:A417,A417))</f>
        <v/>
      </c>
      <c r="R417">
        <f>IF(A417="","",MAX($R$1:R416)+1)</f>
        <v/>
      </c>
    </row>
    <row r="418">
      <c r="A418" s="2" t="n"/>
      <c r="H418" s="3" t="n"/>
      <c r="I418" s="3" t="n"/>
      <c r="J418" s="4">
        <f>IF(AND(H418&lt;&gt;"",I418&lt;&gt;""),(I418-H418)*24,"")</f>
        <v/>
      </c>
      <c r="M418">
        <f>IF(C418&lt;&gt;"",C418,M417)</f>
        <v/>
      </c>
      <c r="N418">
        <f>IF(D418&lt;&gt;"",D418,N417)</f>
        <v/>
      </c>
      <c r="O418">
        <f>M418&amp;": "&amp;N418</f>
        <v/>
      </c>
      <c r="P418">
        <f>IF(O418="","",IF(COUNTIF($O$1:O417,O418)=0,MAX($P$1:P417)+1,""))</f>
        <v/>
      </c>
      <c r="Q418">
        <f>IF(A418="","",COUNTIF($A$2:A418,A418))</f>
        <v/>
      </c>
      <c r="R418">
        <f>IF(A418="","",MAX($R$1:R417)+1)</f>
        <v/>
      </c>
    </row>
    <row r="419">
      <c r="A419" s="2" t="n"/>
      <c r="H419" s="3" t="n"/>
      <c r="I419" s="3" t="n"/>
      <c r="J419" s="4">
        <f>IF(AND(H419&lt;&gt;"",I419&lt;&gt;""),(I419-H419)*24,"")</f>
        <v/>
      </c>
      <c r="M419">
        <f>IF(C419&lt;&gt;"",C419,M418)</f>
        <v/>
      </c>
      <c r="N419">
        <f>IF(D419&lt;&gt;"",D419,N418)</f>
        <v/>
      </c>
      <c r="O419">
        <f>M419&amp;": "&amp;N419</f>
        <v/>
      </c>
      <c r="P419">
        <f>IF(O419="","",IF(COUNTIF($O$1:O418,O419)=0,MAX($P$1:P418)+1,""))</f>
        <v/>
      </c>
      <c r="Q419">
        <f>IF(A419="","",COUNTIF($A$2:A419,A419))</f>
        <v/>
      </c>
      <c r="R419">
        <f>IF(A419="","",MAX($R$1:R418)+1)</f>
        <v/>
      </c>
    </row>
    <row r="420">
      <c r="A420" s="2" t="n"/>
      <c r="H420" s="3" t="n"/>
      <c r="I420" s="3" t="n"/>
      <c r="J420" s="4">
        <f>IF(AND(H420&lt;&gt;"",I420&lt;&gt;""),(I420-H420)*24,"")</f>
        <v/>
      </c>
      <c r="M420">
        <f>IF(C420&lt;&gt;"",C420,M419)</f>
        <v/>
      </c>
      <c r="N420">
        <f>IF(D420&lt;&gt;"",D420,N419)</f>
        <v/>
      </c>
      <c r="O420">
        <f>M420&amp;": "&amp;N420</f>
        <v/>
      </c>
      <c r="P420">
        <f>IF(O420="","",IF(COUNTIF($O$1:O419,O420)=0,MAX($P$1:P419)+1,""))</f>
        <v/>
      </c>
      <c r="Q420">
        <f>IF(A420="","",COUNTIF($A$2:A420,A420))</f>
        <v/>
      </c>
      <c r="R420">
        <f>IF(A420="","",MAX($R$1:R419)+1)</f>
        <v/>
      </c>
    </row>
    <row r="421">
      <c r="A421" s="2" t="n"/>
      <c r="H421" s="3" t="n"/>
      <c r="I421" s="3" t="n"/>
      <c r="J421" s="4">
        <f>IF(AND(H421&lt;&gt;"",I421&lt;&gt;""),(I421-H421)*24,"")</f>
        <v/>
      </c>
      <c r="M421">
        <f>IF(C421&lt;&gt;"",C421,M420)</f>
        <v/>
      </c>
      <c r="N421">
        <f>IF(D421&lt;&gt;"",D421,N420)</f>
        <v/>
      </c>
      <c r="O421">
        <f>M421&amp;": "&amp;N421</f>
        <v/>
      </c>
      <c r="P421">
        <f>IF(O421="","",IF(COUNTIF($O$1:O420,O421)=0,MAX($P$1:P420)+1,""))</f>
        <v/>
      </c>
      <c r="Q421">
        <f>IF(A421="","",COUNTIF($A$2:A421,A421))</f>
        <v/>
      </c>
      <c r="R421">
        <f>IF(A421="","",MAX($R$1:R420)+1)</f>
        <v/>
      </c>
    </row>
    <row r="422">
      <c r="A422" s="2" t="n"/>
      <c r="H422" s="3" t="n"/>
      <c r="I422" s="3" t="n"/>
      <c r="J422" s="4">
        <f>IF(AND(H422&lt;&gt;"",I422&lt;&gt;""),(I422-H422)*24,"")</f>
        <v/>
      </c>
      <c r="M422">
        <f>IF(C422&lt;&gt;"",C422,M421)</f>
        <v/>
      </c>
      <c r="N422">
        <f>IF(D422&lt;&gt;"",D422,N421)</f>
        <v/>
      </c>
      <c r="O422">
        <f>M422&amp;": "&amp;N422</f>
        <v/>
      </c>
      <c r="P422">
        <f>IF(O422="","",IF(COUNTIF($O$1:O421,O422)=0,MAX($P$1:P421)+1,""))</f>
        <v/>
      </c>
      <c r="Q422">
        <f>IF(A422="","",COUNTIF($A$2:A422,A422))</f>
        <v/>
      </c>
      <c r="R422">
        <f>IF(A422="","",MAX($R$1:R421)+1)</f>
        <v/>
      </c>
    </row>
    <row r="423">
      <c r="A423" s="2" t="n"/>
      <c r="H423" s="3" t="n"/>
      <c r="I423" s="3" t="n"/>
      <c r="J423" s="4">
        <f>IF(AND(H423&lt;&gt;"",I423&lt;&gt;""),(I423-H423)*24,"")</f>
        <v/>
      </c>
      <c r="M423">
        <f>IF(C423&lt;&gt;"",C423,M422)</f>
        <v/>
      </c>
      <c r="N423">
        <f>IF(D423&lt;&gt;"",D423,N422)</f>
        <v/>
      </c>
      <c r="O423">
        <f>M423&amp;": "&amp;N423</f>
        <v/>
      </c>
      <c r="P423">
        <f>IF(O423="","",IF(COUNTIF($O$1:O422,O423)=0,MAX($P$1:P422)+1,""))</f>
        <v/>
      </c>
      <c r="Q423">
        <f>IF(A423="","",COUNTIF($A$2:A423,A423))</f>
        <v/>
      </c>
      <c r="R423">
        <f>IF(A423="","",MAX($R$1:R422)+1)</f>
        <v/>
      </c>
    </row>
    <row r="424">
      <c r="A424" s="2" t="n"/>
      <c r="H424" s="3" t="n"/>
      <c r="I424" s="3" t="n"/>
      <c r="J424" s="4">
        <f>IF(AND(H424&lt;&gt;"",I424&lt;&gt;""),(I424-H424)*24,"")</f>
        <v/>
      </c>
      <c r="M424">
        <f>IF(C424&lt;&gt;"",C424,M423)</f>
        <v/>
      </c>
      <c r="N424">
        <f>IF(D424&lt;&gt;"",D424,N423)</f>
        <v/>
      </c>
      <c r="O424">
        <f>M424&amp;": "&amp;N424</f>
        <v/>
      </c>
      <c r="P424">
        <f>IF(O424="","",IF(COUNTIF($O$1:O423,O424)=0,MAX($P$1:P423)+1,""))</f>
        <v/>
      </c>
      <c r="Q424">
        <f>IF(A424="","",COUNTIF($A$2:A424,A424))</f>
        <v/>
      </c>
      <c r="R424">
        <f>IF(A424="","",MAX($R$1:R423)+1)</f>
        <v/>
      </c>
    </row>
    <row r="425">
      <c r="A425" s="2" t="n"/>
      <c r="H425" s="3" t="n"/>
      <c r="I425" s="3" t="n"/>
      <c r="J425" s="4">
        <f>IF(AND(H425&lt;&gt;"",I425&lt;&gt;""),(I425-H425)*24,"")</f>
        <v/>
      </c>
      <c r="M425">
        <f>IF(C425&lt;&gt;"",C425,M424)</f>
        <v/>
      </c>
      <c r="N425">
        <f>IF(D425&lt;&gt;"",D425,N424)</f>
        <v/>
      </c>
      <c r="O425">
        <f>M425&amp;": "&amp;N425</f>
        <v/>
      </c>
      <c r="P425">
        <f>IF(O425="","",IF(COUNTIF($O$1:O424,O425)=0,MAX($P$1:P424)+1,""))</f>
        <v/>
      </c>
      <c r="Q425">
        <f>IF(A425="","",COUNTIF($A$2:A425,A425))</f>
        <v/>
      </c>
      <c r="R425">
        <f>IF(A425="","",MAX($R$1:R424)+1)</f>
        <v/>
      </c>
    </row>
    <row r="426">
      <c r="A426" s="2" t="n"/>
      <c r="H426" s="3" t="n"/>
      <c r="I426" s="3" t="n"/>
      <c r="J426" s="4">
        <f>IF(AND(H426&lt;&gt;"",I426&lt;&gt;""),(I426-H426)*24,"")</f>
        <v/>
      </c>
      <c r="M426">
        <f>IF(C426&lt;&gt;"",C426,M425)</f>
        <v/>
      </c>
      <c r="N426">
        <f>IF(D426&lt;&gt;"",D426,N425)</f>
        <v/>
      </c>
      <c r="O426">
        <f>M426&amp;": "&amp;N426</f>
        <v/>
      </c>
      <c r="P426">
        <f>IF(O426="","",IF(COUNTIF($O$1:O425,O426)=0,MAX($P$1:P425)+1,""))</f>
        <v/>
      </c>
      <c r="Q426">
        <f>IF(A426="","",COUNTIF($A$2:A426,A426))</f>
        <v/>
      </c>
      <c r="R426">
        <f>IF(A426="","",MAX($R$1:R425)+1)</f>
        <v/>
      </c>
    </row>
    <row r="427">
      <c r="A427" s="2" t="n"/>
      <c r="H427" s="3" t="n"/>
      <c r="I427" s="3" t="n"/>
      <c r="J427" s="4">
        <f>IF(AND(H427&lt;&gt;"",I427&lt;&gt;""),(I427-H427)*24,"")</f>
        <v/>
      </c>
      <c r="M427">
        <f>IF(C427&lt;&gt;"",C427,M426)</f>
        <v/>
      </c>
      <c r="N427">
        <f>IF(D427&lt;&gt;"",D427,N426)</f>
        <v/>
      </c>
      <c r="O427">
        <f>M427&amp;": "&amp;N427</f>
        <v/>
      </c>
      <c r="P427">
        <f>IF(O427="","",IF(COUNTIF($O$1:O426,O427)=0,MAX($P$1:P426)+1,""))</f>
        <v/>
      </c>
      <c r="Q427">
        <f>IF(A427="","",COUNTIF($A$2:A427,A427))</f>
        <v/>
      </c>
      <c r="R427">
        <f>IF(A427="","",MAX($R$1:R426)+1)</f>
        <v/>
      </c>
    </row>
    <row r="428">
      <c r="A428" s="2" t="n"/>
      <c r="H428" s="3" t="n"/>
      <c r="I428" s="3" t="n"/>
      <c r="J428" s="4">
        <f>IF(AND(H428&lt;&gt;"",I428&lt;&gt;""),(I428-H428)*24,"")</f>
        <v/>
      </c>
      <c r="M428">
        <f>IF(C428&lt;&gt;"",C428,M427)</f>
        <v/>
      </c>
      <c r="N428">
        <f>IF(D428&lt;&gt;"",D428,N427)</f>
        <v/>
      </c>
      <c r="O428">
        <f>M428&amp;": "&amp;N428</f>
        <v/>
      </c>
      <c r="P428">
        <f>IF(O428="","",IF(COUNTIF($O$1:O427,O428)=0,MAX($P$1:P427)+1,""))</f>
        <v/>
      </c>
      <c r="Q428">
        <f>IF(A428="","",COUNTIF($A$2:A428,A428))</f>
        <v/>
      </c>
      <c r="R428">
        <f>IF(A428="","",MAX($R$1:R427)+1)</f>
        <v/>
      </c>
    </row>
    <row r="429">
      <c r="A429" s="2" t="n"/>
      <c r="H429" s="3" t="n"/>
      <c r="I429" s="3" t="n"/>
      <c r="J429" s="4">
        <f>IF(AND(H429&lt;&gt;"",I429&lt;&gt;""),(I429-H429)*24,"")</f>
        <v/>
      </c>
      <c r="M429">
        <f>IF(C429&lt;&gt;"",C429,M428)</f>
        <v/>
      </c>
      <c r="N429">
        <f>IF(D429&lt;&gt;"",D429,N428)</f>
        <v/>
      </c>
      <c r="O429">
        <f>M429&amp;": "&amp;N429</f>
        <v/>
      </c>
      <c r="P429">
        <f>IF(O429="","",IF(COUNTIF($O$1:O428,O429)=0,MAX($P$1:P428)+1,""))</f>
        <v/>
      </c>
      <c r="Q429">
        <f>IF(A429="","",COUNTIF($A$2:A429,A429))</f>
        <v/>
      </c>
      <c r="R429">
        <f>IF(A429="","",MAX($R$1:R428)+1)</f>
        <v/>
      </c>
    </row>
    <row r="430">
      <c r="A430" s="2" t="n"/>
      <c r="H430" s="3" t="n"/>
      <c r="I430" s="3" t="n"/>
      <c r="J430" s="4">
        <f>IF(AND(H430&lt;&gt;"",I430&lt;&gt;""),(I430-H430)*24,"")</f>
        <v/>
      </c>
      <c r="M430">
        <f>IF(C430&lt;&gt;"",C430,M429)</f>
        <v/>
      </c>
      <c r="N430">
        <f>IF(D430&lt;&gt;"",D430,N429)</f>
        <v/>
      </c>
      <c r="O430">
        <f>M430&amp;": "&amp;N430</f>
        <v/>
      </c>
      <c r="P430">
        <f>IF(O430="","",IF(COUNTIF($O$1:O429,O430)=0,MAX($P$1:P429)+1,""))</f>
        <v/>
      </c>
      <c r="Q430">
        <f>IF(A430="","",COUNTIF($A$2:A430,A430))</f>
        <v/>
      </c>
      <c r="R430">
        <f>IF(A430="","",MAX($R$1:R429)+1)</f>
        <v/>
      </c>
    </row>
    <row r="431">
      <c r="A431" s="2" t="n"/>
      <c r="H431" s="3" t="n"/>
      <c r="I431" s="3" t="n"/>
      <c r="J431" s="4">
        <f>IF(AND(H431&lt;&gt;"",I431&lt;&gt;""),(I431-H431)*24,"")</f>
        <v/>
      </c>
      <c r="M431">
        <f>IF(C431&lt;&gt;"",C431,M430)</f>
        <v/>
      </c>
      <c r="N431">
        <f>IF(D431&lt;&gt;"",D431,N430)</f>
        <v/>
      </c>
      <c r="O431">
        <f>M431&amp;": "&amp;N431</f>
        <v/>
      </c>
      <c r="P431">
        <f>IF(O431="","",IF(COUNTIF($O$1:O430,O431)=0,MAX($P$1:P430)+1,""))</f>
        <v/>
      </c>
      <c r="Q431">
        <f>IF(A431="","",COUNTIF($A$2:A431,A431))</f>
        <v/>
      </c>
      <c r="R431">
        <f>IF(A431="","",MAX($R$1:R430)+1)</f>
        <v/>
      </c>
    </row>
    <row r="432">
      <c r="A432" s="2" t="n"/>
      <c r="H432" s="3" t="n"/>
      <c r="I432" s="3" t="n"/>
      <c r="J432" s="4">
        <f>IF(AND(H432&lt;&gt;"",I432&lt;&gt;""),(I432-H432)*24,"")</f>
        <v/>
      </c>
      <c r="M432">
        <f>IF(C432&lt;&gt;"",C432,M431)</f>
        <v/>
      </c>
      <c r="N432">
        <f>IF(D432&lt;&gt;"",D432,N431)</f>
        <v/>
      </c>
      <c r="O432">
        <f>M432&amp;": "&amp;N432</f>
        <v/>
      </c>
      <c r="P432">
        <f>IF(O432="","",IF(COUNTIF($O$1:O431,O432)=0,MAX($P$1:P431)+1,""))</f>
        <v/>
      </c>
      <c r="Q432">
        <f>IF(A432="","",COUNTIF($A$2:A432,A432))</f>
        <v/>
      </c>
      <c r="R432">
        <f>IF(A432="","",MAX($R$1:R431)+1)</f>
        <v/>
      </c>
    </row>
    <row r="433">
      <c r="A433" s="2" t="n"/>
      <c r="H433" s="3" t="n"/>
      <c r="I433" s="3" t="n"/>
      <c r="J433" s="4">
        <f>IF(AND(H433&lt;&gt;"",I433&lt;&gt;""),(I433-H433)*24,"")</f>
        <v/>
      </c>
      <c r="M433">
        <f>IF(C433&lt;&gt;"",C433,M432)</f>
        <v/>
      </c>
      <c r="N433">
        <f>IF(D433&lt;&gt;"",D433,N432)</f>
        <v/>
      </c>
      <c r="O433">
        <f>M433&amp;": "&amp;N433</f>
        <v/>
      </c>
      <c r="P433">
        <f>IF(O433="","",IF(COUNTIF($O$1:O432,O433)=0,MAX($P$1:P432)+1,""))</f>
        <v/>
      </c>
      <c r="Q433">
        <f>IF(A433="","",COUNTIF($A$2:A433,A433))</f>
        <v/>
      </c>
      <c r="R433">
        <f>IF(A433="","",MAX($R$1:R432)+1)</f>
        <v/>
      </c>
    </row>
    <row r="434">
      <c r="A434" s="2" t="n"/>
      <c r="H434" s="3" t="n"/>
      <c r="I434" s="3" t="n"/>
      <c r="J434" s="4">
        <f>IF(AND(H434&lt;&gt;"",I434&lt;&gt;""),(I434-H434)*24,"")</f>
        <v/>
      </c>
      <c r="M434">
        <f>IF(C434&lt;&gt;"",C434,M433)</f>
        <v/>
      </c>
      <c r="N434">
        <f>IF(D434&lt;&gt;"",D434,N433)</f>
        <v/>
      </c>
      <c r="O434">
        <f>M434&amp;": "&amp;N434</f>
        <v/>
      </c>
      <c r="P434">
        <f>IF(O434="","",IF(COUNTIF($O$1:O433,O434)=0,MAX($P$1:P433)+1,""))</f>
        <v/>
      </c>
      <c r="Q434">
        <f>IF(A434="","",COUNTIF($A$2:A434,A434))</f>
        <v/>
      </c>
      <c r="R434">
        <f>IF(A434="","",MAX($R$1:R433)+1)</f>
        <v/>
      </c>
    </row>
    <row r="435">
      <c r="A435" s="2" t="n"/>
      <c r="H435" s="3" t="n"/>
      <c r="I435" s="3" t="n"/>
      <c r="J435" s="4">
        <f>IF(AND(H435&lt;&gt;"",I435&lt;&gt;""),(I435-H435)*24,"")</f>
        <v/>
      </c>
      <c r="M435">
        <f>IF(C435&lt;&gt;"",C435,M434)</f>
        <v/>
      </c>
      <c r="N435">
        <f>IF(D435&lt;&gt;"",D435,N434)</f>
        <v/>
      </c>
      <c r="O435">
        <f>M435&amp;": "&amp;N435</f>
        <v/>
      </c>
      <c r="P435">
        <f>IF(O435="","",IF(COUNTIF($O$1:O434,O435)=0,MAX($P$1:P434)+1,""))</f>
        <v/>
      </c>
      <c r="Q435">
        <f>IF(A435="","",COUNTIF($A$2:A435,A435))</f>
        <v/>
      </c>
      <c r="R435">
        <f>IF(A435="","",MAX($R$1:R434)+1)</f>
        <v/>
      </c>
    </row>
    <row r="436">
      <c r="A436" s="2" t="n"/>
      <c r="H436" s="3" t="n"/>
      <c r="I436" s="3" t="n"/>
      <c r="J436" s="4">
        <f>IF(AND(H436&lt;&gt;"",I436&lt;&gt;""),(I436-H436)*24,"")</f>
        <v/>
      </c>
      <c r="M436">
        <f>IF(C436&lt;&gt;"",C436,M435)</f>
        <v/>
      </c>
      <c r="N436">
        <f>IF(D436&lt;&gt;"",D436,N435)</f>
        <v/>
      </c>
      <c r="O436">
        <f>M436&amp;": "&amp;N436</f>
        <v/>
      </c>
      <c r="P436">
        <f>IF(O436="","",IF(COUNTIF($O$1:O435,O436)=0,MAX($P$1:P435)+1,""))</f>
        <v/>
      </c>
      <c r="Q436">
        <f>IF(A436="","",COUNTIF($A$2:A436,A436))</f>
        <v/>
      </c>
      <c r="R436">
        <f>IF(A436="","",MAX($R$1:R435)+1)</f>
        <v/>
      </c>
    </row>
    <row r="437">
      <c r="A437" s="2" t="n"/>
      <c r="H437" s="3" t="n"/>
      <c r="I437" s="3" t="n"/>
      <c r="J437" s="4">
        <f>IF(AND(H437&lt;&gt;"",I437&lt;&gt;""),(I437-H437)*24,"")</f>
        <v/>
      </c>
      <c r="M437">
        <f>IF(C437&lt;&gt;"",C437,M436)</f>
        <v/>
      </c>
      <c r="N437">
        <f>IF(D437&lt;&gt;"",D437,N436)</f>
        <v/>
      </c>
      <c r="O437">
        <f>M437&amp;": "&amp;N437</f>
        <v/>
      </c>
      <c r="P437">
        <f>IF(O437="","",IF(COUNTIF($O$1:O436,O437)=0,MAX($P$1:P436)+1,""))</f>
        <v/>
      </c>
      <c r="Q437">
        <f>IF(A437="","",COUNTIF($A$2:A437,A437))</f>
        <v/>
      </c>
      <c r="R437">
        <f>IF(A437="","",MAX($R$1:R436)+1)</f>
        <v/>
      </c>
    </row>
    <row r="438">
      <c r="A438" s="2" t="n"/>
      <c r="H438" s="3" t="n"/>
      <c r="I438" s="3" t="n"/>
      <c r="J438" s="4">
        <f>IF(AND(H438&lt;&gt;"",I438&lt;&gt;""),(I438-H438)*24,"")</f>
        <v/>
      </c>
      <c r="M438">
        <f>IF(C438&lt;&gt;"",C438,M437)</f>
        <v/>
      </c>
      <c r="N438">
        <f>IF(D438&lt;&gt;"",D438,N437)</f>
        <v/>
      </c>
      <c r="O438">
        <f>M438&amp;": "&amp;N438</f>
        <v/>
      </c>
      <c r="P438">
        <f>IF(O438="","",IF(COUNTIF($O$1:O437,O438)=0,MAX($P$1:P437)+1,""))</f>
        <v/>
      </c>
      <c r="Q438">
        <f>IF(A438="","",COUNTIF($A$2:A438,A438))</f>
        <v/>
      </c>
      <c r="R438">
        <f>IF(A438="","",MAX($R$1:R437)+1)</f>
        <v/>
      </c>
    </row>
    <row r="439">
      <c r="A439" s="2" t="n"/>
      <c r="H439" s="3" t="n"/>
      <c r="I439" s="3" t="n"/>
      <c r="J439" s="4">
        <f>IF(AND(H439&lt;&gt;"",I439&lt;&gt;""),(I439-H439)*24,"")</f>
        <v/>
      </c>
      <c r="M439">
        <f>IF(C439&lt;&gt;"",C439,M438)</f>
        <v/>
      </c>
      <c r="N439">
        <f>IF(D439&lt;&gt;"",D439,N438)</f>
        <v/>
      </c>
      <c r="O439">
        <f>M439&amp;": "&amp;N439</f>
        <v/>
      </c>
      <c r="P439">
        <f>IF(O439="","",IF(COUNTIF($O$1:O438,O439)=0,MAX($P$1:P438)+1,""))</f>
        <v/>
      </c>
      <c r="Q439">
        <f>IF(A439="","",COUNTIF($A$2:A439,A439))</f>
        <v/>
      </c>
      <c r="R439">
        <f>IF(A439="","",MAX($R$1:R438)+1)</f>
        <v/>
      </c>
    </row>
    <row r="440">
      <c r="A440" s="2" t="n"/>
      <c r="H440" s="3" t="n"/>
      <c r="I440" s="3" t="n"/>
      <c r="J440" s="4">
        <f>IF(AND(H440&lt;&gt;"",I440&lt;&gt;""),(I440-H440)*24,"")</f>
        <v/>
      </c>
      <c r="M440">
        <f>IF(C440&lt;&gt;"",C440,M439)</f>
        <v/>
      </c>
      <c r="N440">
        <f>IF(D440&lt;&gt;"",D440,N439)</f>
        <v/>
      </c>
      <c r="O440">
        <f>M440&amp;": "&amp;N440</f>
        <v/>
      </c>
      <c r="P440">
        <f>IF(O440="","",IF(COUNTIF($O$1:O439,O440)=0,MAX($P$1:P439)+1,""))</f>
        <v/>
      </c>
      <c r="Q440">
        <f>IF(A440="","",COUNTIF($A$2:A440,A440))</f>
        <v/>
      </c>
      <c r="R440">
        <f>IF(A440="","",MAX($R$1:R439)+1)</f>
        <v/>
      </c>
    </row>
    <row r="441">
      <c r="A441" s="2" t="n"/>
      <c r="H441" s="3" t="n"/>
      <c r="I441" s="3" t="n"/>
      <c r="J441" s="4">
        <f>IF(AND(H441&lt;&gt;"",I441&lt;&gt;""),(I441-H441)*24,"")</f>
        <v/>
      </c>
      <c r="M441">
        <f>IF(C441&lt;&gt;"",C441,M440)</f>
        <v/>
      </c>
      <c r="N441">
        <f>IF(D441&lt;&gt;"",D441,N440)</f>
        <v/>
      </c>
      <c r="O441">
        <f>M441&amp;": "&amp;N441</f>
        <v/>
      </c>
      <c r="P441">
        <f>IF(O441="","",IF(COUNTIF($O$1:O440,O441)=0,MAX($P$1:P440)+1,""))</f>
        <v/>
      </c>
      <c r="Q441">
        <f>IF(A441="","",COUNTIF($A$2:A441,A441))</f>
        <v/>
      </c>
      <c r="R441">
        <f>IF(A441="","",MAX($R$1:R440)+1)</f>
        <v/>
      </c>
    </row>
    <row r="442">
      <c r="A442" s="2" t="n"/>
      <c r="H442" s="3" t="n"/>
      <c r="I442" s="3" t="n"/>
      <c r="J442" s="4">
        <f>IF(AND(H442&lt;&gt;"",I442&lt;&gt;""),(I442-H442)*24,"")</f>
        <v/>
      </c>
      <c r="M442">
        <f>IF(C442&lt;&gt;"",C442,M441)</f>
        <v/>
      </c>
      <c r="N442">
        <f>IF(D442&lt;&gt;"",D442,N441)</f>
        <v/>
      </c>
      <c r="O442">
        <f>M442&amp;": "&amp;N442</f>
        <v/>
      </c>
      <c r="P442">
        <f>IF(O442="","",IF(COUNTIF($O$1:O441,O442)=0,MAX($P$1:P441)+1,""))</f>
        <v/>
      </c>
      <c r="Q442">
        <f>IF(A442="","",COUNTIF($A$2:A442,A442))</f>
        <v/>
      </c>
      <c r="R442">
        <f>IF(A442="","",MAX($R$1:R441)+1)</f>
        <v/>
      </c>
    </row>
    <row r="443">
      <c r="A443" s="2" t="n"/>
      <c r="H443" s="3" t="n"/>
      <c r="I443" s="3" t="n"/>
      <c r="J443" s="4">
        <f>IF(AND(H443&lt;&gt;"",I443&lt;&gt;""),(I443-H443)*24,"")</f>
        <v/>
      </c>
      <c r="M443">
        <f>IF(C443&lt;&gt;"",C443,M442)</f>
        <v/>
      </c>
      <c r="N443">
        <f>IF(D443&lt;&gt;"",D443,N442)</f>
        <v/>
      </c>
      <c r="O443">
        <f>M443&amp;": "&amp;N443</f>
        <v/>
      </c>
      <c r="P443">
        <f>IF(O443="","",IF(COUNTIF($O$1:O442,O443)=0,MAX($P$1:P442)+1,""))</f>
        <v/>
      </c>
      <c r="Q443">
        <f>IF(A443="","",COUNTIF($A$2:A443,A443))</f>
        <v/>
      </c>
      <c r="R443">
        <f>IF(A443="","",MAX($R$1:R442)+1)</f>
        <v/>
      </c>
    </row>
    <row r="444">
      <c r="A444" s="2" t="n"/>
      <c r="H444" s="3" t="n"/>
      <c r="I444" s="3" t="n"/>
      <c r="J444" s="4">
        <f>IF(AND(H444&lt;&gt;"",I444&lt;&gt;""),(I444-H444)*24,"")</f>
        <v/>
      </c>
      <c r="M444">
        <f>IF(C444&lt;&gt;"",C444,M443)</f>
        <v/>
      </c>
      <c r="N444">
        <f>IF(D444&lt;&gt;"",D444,N443)</f>
        <v/>
      </c>
      <c r="O444">
        <f>M444&amp;": "&amp;N444</f>
        <v/>
      </c>
      <c r="P444">
        <f>IF(O444="","",IF(COUNTIF($O$1:O443,O444)=0,MAX($P$1:P443)+1,""))</f>
        <v/>
      </c>
      <c r="Q444">
        <f>IF(A444="","",COUNTIF($A$2:A444,A444))</f>
        <v/>
      </c>
      <c r="R444">
        <f>IF(A444="","",MAX($R$1:R443)+1)</f>
        <v/>
      </c>
    </row>
    <row r="445">
      <c r="A445" s="2" t="n"/>
      <c r="H445" s="3" t="n"/>
      <c r="I445" s="3" t="n"/>
      <c r="J445" s="4">
        <f>IF(AND(H445&lt;&gt;"",I445&lt;&gt;""),(I445-H445)*24,"")</f>
        <v/>
      </c>
      <c r="M445">
        <f>IF(C445&lt;&gt;"",C445,M444)</f>
        <v/>
      </c>
      <c r="N445">
        <f>IF(D445&lt;&gt;"",D445,N444)</f>
        <v/>
      </c>
      <c r="O445">
        <f>M445&amp;": "&amp;N445</f>
        <v/>
      </c>
      <c r="P445">
        <f>IF(O445="","",IF(COUNTIF($O$1:O444,O445)=0,MAX($P$1:P444)+1,""))</f>
        <v/>
      </c>
      <c r="Q445">
        <f>IF(A445="","",COUNTIF($A$2:A445,A445))</f>
        <v/>
      </c>
      <c r="R445">
        <f>IF(A445="","",MAX($R$1:R444)+1)</f>
        <v/>
      </c>
    </row>
    <row r="446">
      <c r="A446" s="2" t="n"/>
      <c r="H446" s="3" t="n"/>
      <c r="I446" s="3" t="n"/>
      <c r="J446" s="4">
        <f>IF(AND(H446&lt;&gt;"",I446&lt;&gt;""),(I446-H446)*24,"")</f>
        <v/>
      </c>
      <c r="M446">
        <f>IF(C446&lt;&gt;"",C446,M445)</f>
        <v/>
      </c>
      <c r="N446">
        <f>IF(D446&lt;&gt;"",D446,N445)</f>
        <v/>
      </c>
      <c r="O446">
        <f>M446&amp;": "&amp;N446</f>
        <v/>
      </c>
      <c r="P446">
        <f>IF(O446="","",IF(COUNTIF($O$1:O445,O446)=0,MAX($P$1:P445)+1,""))</f>
        <v/>
      </c>
      <c r="Q446">
        <f>IF(A446="","",COUNTIF($A$2:A446,A446))</f>
        <v/>
      </c>
      <c r="R446">
        <f>IF(A446="","",MAX($R$1:R445)+1)</f>
        <v/>
      </c>
    </row>
    <row r="447">
      <c r="A447" s="2" t="n"/>
      <c r="H447" s="3" t="n"/>
      <c r="I447" s="3" t="n"/>
      <c r="J447" s="4">
        <f>IF(AND(H447&lt;&gt;"",I447&lt;&gt;""),(I447-H447)*24,"")</f>
        <v/>
      </c>
      <c r="M447">
        <f>IF(C447&lt;&gt;"",C447,M446)</f>
        <v/>
      </c>
      <c r="N447">
        <f>IF(D447&lt;&gt;"",D447,N446)</f>
        <v/>
      </c>
      <c r="O447">
        <f>M447&amp;": "&amp;N447</f>
        <v/>
      </c>
      <c r="P447">
        <f>IF(O447="","",IF(COUNTIF($O$1:O446,O447)=0,MAX($P$1:P446)+1,""))</f>
        <v/>
      </c>
      <c r="Q447">
        <f>IF(A447="","",COUNTIF($A$2:A447,A447))</f>
        <v/>
      </c>
      <c r="R447">
        <f>IF(A447="","",MAX($R$1:R446)+1)</f>
        <v/>
      </c>
    </row>
    <row r="448">
      <c r="A448" s="2" t="n"/>
      <c r="H448" s="3" t="n"/>
      <c r="I448" s="3" t="n"/>
      <c r="J448" s="4">
        <f>IF(AND(H448&lt;&gt;"",I448&lt;&gt;""),(I448-H448)*24,"")</f>
        <v/>
      </c>
      <c r="M448">
        <f>IF(C448&lt;&gt;"",C448,M447)</f>
        <v/>
      </c>
      <c r="N448">
        <f>IF(D448&lt;&gt;"",D448,N447)</f>
        <v/>
      </c>
      <c r="O448">
        <f>M448&amp;": "&amp;N448</f>
        <v/>
      </c>
      <c r="P448">
        <f>IF(O448="","",IF(COUNTIF($O$1:O447,O448)=0,MAX($P$1:P447)+1,""))</f>
        <v/>
      </c>
      <c r="Q448">
        <f>IF(A448="","",COUNTIF($A$2:A448,A448))</f>
        <v/>
      </c>
      <c r="R448">
        <f>IF(A448="","",MAX($R$1:R447)+1)</f>
        <v/>
      </c>
    </row>
    <row r="449">
      <c r="A449" s="2" t="n"/>
      <c r="H449" s="3" t="n"/>
      <c r="I449" s="3" t="n"/>
      <c r="J449" s="4">
        <f>IF(AND(H449&lt;&gt;"",I449&lt;&gt;""),(I449-H449)*24,"")</f>
        <v/>
      </c>
      <c r="M449">
        <f>IF(C449&lt;&gt;"",C449,M448)</f>
        <v/>
      </c>
      <c r="N449">
        <f>IF(D449&lt;&gt;"",D449,N448)</f>
        <v/>
      </c>
      <c r="O449">
        <f>M449&amp;": "&amp;N449</f>
        <v/>
      </c>
      <c r="P449">
        <f>IF(O449="","",IF(COUNTIF($O$1:O448,O449)=0,MAX($P$1:P448)+1,""))</f>
        <v/>
      </c>
      <c r="Q449">
        <f>IF(A449="","",COUNTIF($A$2:A449,A449))</f>
        <v/>
      </c>
      <c r="R449">
        <f>IF(A449="","",MAX($R$1:R448)+1)</f>
        <v/>
      </c>
    </row>
    <row r="450">
      <c r="A450" s="2" t="n"/>
      <c r="H450" s="3" t="n"/>
      <c r="I450" s="3" t="n"/>
      <c r="J450" s="4">
        <f>IF(AND(H450&lt;&gt;"",I450&lt;&gt;""),(I450-H450)*24,"")</f>
        <v/>
      </c>
      <c r="M450">
        <f>IF(C450&lt;&gt;"",C450,M449)</f>
        <v/>
      </c>
      <c r="N450">
        <f>IF(D450&lt;&gt;"",D450,N449)</f>
        <v/>
      </c>
      <c r="O450">
        <f>M450&amp;": "&amp;N450</f>
        <v/>
      </c>
      <c r="P450">
        <f>IF(O450="","",IF(COUNTIF($O$1:O449,O450)=0,MAX($P$1:P449)+1,""))</f>
        <v/>
      </c>
      <c r="Q450">
        <f>IF(A450="","",COUNTIF($A$2:A450,A450))</f>
        <v/>
      </c>
      <c r="R450">
        <f>IF(A450="","",MAX($R$1:R449)+1)</f>
        <v/>
      </c>
    </row>
    <row r="451">
      <c r="A451" s="2" t="n"/>
      <c r="H451" s="3" t="n"/>
      <c r="I451" s="3" t="n"/>
      <c r="J451" s="4">
        <f>IF(AND(H451&lt;&gt;"",I451&lt;&gt;""),(I451-H451)*24,"")</f>
        <v/>
      </c>
      <c r="M451">
        <f>IF(C451&lt;&gt;"",C451,M450)</f>
        <v/>
      </c>
      <c r="N451">
        <f>IF(D451&lt;&gt;"",D451,N450)</f>
        <v/>
      </c>
      <c r="O451">
        <f>M451&amp;": "&amp;N451</f>
        <v/>
      </c>
      <c r="P451">
        <f>IF(O451="","",IF(COUNTIF($O$1:O450,O451)=0,MAX($P$1:P450)+1,""))</f>
        <v/>
      </c>
      <c r="Q451">
        <f>IF(A451="","",COUNTIF($A$2:A451,A451))</f>
        <v/>
      </c>
      <c r="R451">
        <f>IF(A451="","",MAX($R$1:R450)+1)</f>
        <v/>
      </c>
    </row>
    <row r="452">
      <c r="A452" s="2" t="n"/>
      <c r="H452" s="3" t="n"/>
      <c r="I452" s="3" t="n"/>
      <c r="J452" s="4">
        <f>IF(AND(H452&lt;&gt;"",I452&lt;&gt;""),(I452-H452)*24,"")</f>
        <v/>
      </c>
      <c r="M452">
        <f>IF(C452&lt;&gt;"",C452,M451)</f>
        <v/>
      </c>
      <c r="N452">
        <f>IF(D452&lt;&gt;"",D452,N451)</f>
        <v/>
      </c>
      <c r="O452">
        <f>M452&amp;": "&amp;N452</f>
        <v/>
      </c>
      <c r="P452">
        <f>IF(O452="","",IF(COUNTIF($O$1:O451,O452)=0,MAX($P$1:P451)+1,""))</f>
        <v/>
      </c>
      <c r="Q452">
        <f>IF(A452="","",COUNTIF($A$2:A452,A452))</f>
        <v/>
      </c>
      <c r="R452">
        <f>IF(A452="","",MAX($R$1:R451)+1)</f>
        <v/>
      </c>
    </row>
    <row r="453">
      <c r="A453" s="2" t="n"/>
      <c r="H453" s="3" t="n"/>
      <c r="I453" s="3" t="n"/>
      <c r="J453" s="4">
        <f>IF(AND(H453&lt;&gt;"",I453&lt;&gt;""),(I453-H453)*24,"")</f>
        <v/>
      </c>
      <c r="M453">
        <f>IF(C453&lt;&gt;"",C453,M452)</f>
        <v/>
      </c>
      <c r="N453">
        <f>IF(D453&lt;&gt;"",D453,N452)</f>
        <v/>
      </c>
      <c r="O453">
        <f>M453&amp;": "&amp;N453</f>
        <v/>
      </c>
      <c r="P453">
        <f>IF(O453="","",IF(COUNTIF($O$1:O452,O453)=0,MAX($P$1:P452)+1,""))</f>
        <v/>
      </c>
      <c r="Q453">
        <f>IF(A453="","",COUNTIF($A$2:A453,A453))</f>
        <v/>
      </c>
      <c r="R453">
        <f>IF(A453="","",MAX($R$1:R452)+1)</f>
        <v/>
      </c>
    </row>
    <row r="454">
      <c r="A454" s="2" t="n"/>
      <c r="H454" s="3" t="n"/>
      <c r="I454" s="3" t="n"/>
      <c r="J454" s="4">
        <f>IF(AND(H454&lt;&gt;"",I454&lt;&gt;""),(I454-H454)*24,"")</f>
        <v/>
      </c>
      <c r="M454">
        <f>IF(C454&lt;&gt;"",C454,M453)</f>
        <v/>
      </c>
      <c r="N454">
        <f>IF(D454&lt;&gt;"",D454,N453)</f>
        <v/>
      </c>
      <c r="O454">
        <f>M454&amp;": "&amp;N454</f>
        <v/>
      </c>
      <c r="P454">
        <f>IF(O454="","",IF(COUNTIF($O$1:O453,O454)=0,MAX($P$1:P453)+1,""))</f>
        <v/>
      </c>
      <c r="Q454">
        <f>IF(A454="","",COUNTIF($A$2:A454,A454))</f>
        <v/>
      </c>
      <c r="R454">
        <f>IF(A454="","",MAX($R$1:R453)+1)</f>
        <v/>
      </c>
    </row>
    <row r="455">
      <c r="A455" s="2" t="n"/>
      <c r="H455" s="3" t="n"/>
      <c r="I455" s="3" t="n"/>
      <c r="J455" s="4">
        <f>IF(AND(H455&lt;&gt;"",I455&lt;&gt;""),(I455-H455)*24,"")</f>
        <v/>
      </c>
      <c r="M455">
        <f>IF(C455&lt;&gt;"",C455,M454)</f>
        <v/>
      </c>
      <c r="N455">
        <f>IF(D455&lt;&gt;"",D455,N454)</f>
        <v/>
      </c>
      <c r="O455">
        <f>M455&amp;": "&amp;N455</f>
        <v/>
      </c>
      <c r="P455">
        <f>IF(O455="","",IF(COUNTIF($O$1:O454,O455)=0,MAX($P$1:P454)+1,""))</f>
        <v/>
      </c>
      <c r="Q455">
        <f>IF(A455="","",COUNTIF($A$2:A455,A455))</f>
        <v/>
      </c>
      <c r="R455">
        <f>IF(A455="","",MAX($R$1:R454)+1)</f>
        <v/>
      </c>
    </row>
    <row r="456">
      <c r="A456" s="2" t="n"/>
      <c r="H456" s="3" t="n"/>
      <c r="I456" s="3" t="n"/>
      <c r="J456" s="4">
        <f>IF(AND(H456&lt;&gt;"",I456&lt;&gt;""),(I456-H456)*24,"")</f>
        <v/>
      </c>
      <c r="M456">
        <f>IF(C456&lt;&gt;"",C456,M455)</f>
        <v/>
      </c>
      <c r="N456">
        <f>IF(D456&lt;&gt;"",D456,N455)</f>
        <v/>
      </c>
      <c r="O456">
        <f>M456&amp;": "&amp;N456</f>
        <v/>
      </c>
      <c r="P456">
        <f>IF(O456="","",IF(COUNTIF($O$1:O455,O456)=0,MAX($P$1:P455)+1,""))</f>
        <v/>
      </c>
      <c r="Q456">
        <f>IF(A456="","",COUNTIF($A$2:A456,A456))</f>
        <v/>
      </c>
      <c r="R456">
        <f>IF(A456="","",MAX($R$1:R455)+1)</f>
        <v/>
      </c>
    </row>
    <row r="457">
      <c r="A457" s="2" t="n"/>
      <c r="H457" s="3" t="n"/>
      <c r="I457" s="3" t="n"/>
      <c r="J457" s="4">
        <f>IF(AND(H457&lt;&gt;"",I457&lt;&gt;""),(I457-H457)*24,"")</f>
        <v/>
      </c>
      <c r="M457">
        <f>IF(C457&lt;&gt;"",C457,M456)</f>
        <v/>
      </c>
      <c r="N457">
        <f>IF(D457&lt;&gt;"",D457,N456)</f>
        <v/>
      </c>
      <c r="O457">
        <f>M457&amp;": "&amp;N457</f>
        <v/>
      </c>
      <c r="P457">
        <f>IF(O457="","",IF(COUNTIF($O$1:O456,O457)=0,MAX($P$1:P456)+1,""))</f>
        <v/>
      </c>
      <c r="Q457">
        <f>IF(A457="","",COUNTIF($A$2:A457,A457))</f>
        <v/>
      </c>
      <c r="R457">
        <f>IF(A457="","",MAX($R$1:R456)+1)</f>
        <v/>
      </c>
    </row>
    <row r="458">
      <c r="A458" s="2" t="n"/>
      <c r="H458" s="3" t="n"/>
      <c r="I458" s="3" t="n"/>
      <c r="J458" s="4">
        <f>IF(AND(H458&lt;&gt;"",I458&lt;&gt;""),(I458-H458)*24,"")</f>
        <v/>
      </c>
      <c r="M458">
        <f>IF(C458&lt;&gt;"",C458,M457)</f>
        <v/>
      </c>
      <c r="N458">
        <f>IF(D458&lt;&gt;"",D458,N457)</f>
        <v/>
      </c>
      <c r="O458">
        <f>M458&amp;": "&amp;N458</f>
        <v/>
      </c>
      <c r="P458">
        <f>IF(O458="","",IF(COUNTIF($O$1:O457,O458)=0,MAX($P$1:P457)+1,""))</f>
        <v/>
      </c>
      <c r="Q458">
        <f>IF(A458="","",COUNTIF($A$2:A458,A458))</f>
        <v/>
      </c>
      <c r="R458">
        <f>IF(A458="","",MAX($R$1:R457)+1)</f>
        <v/>
      </c>
    </row>
    <row r="459">
      <c r="A459" s="2" t="n"/>
      <c r="H459" s="3" t="n"/>
      <c r="I459" s="3" t="n"/>
      <c r="J459" s="4">
        <f>IF(AND(H459&lt;&gt;"",I459&lt;&gt;""),(I459-H459)*24,"")</f>
        <v/>
      </c>
      <c r="M459">
        <f>IF(C459&lt;&gt;"",C459,M458)</f>
        <v/>
      </c>
      <c r="N459">
        <f>IF(D459&lt;&gt;"",D459,N458)</f>
        <v/>
      </c>
      <c r="O459">
        <f>M459&amp;": "&amp;N459</f>
        <v/>
      </c>
      <c r="P459">
        <f>IF(O459="","",IF(COUNTIF($O$1:O458,O459)=0,MAX($P$1:P458)+1,""))</f>
        <v/>
      </c>
      <c r="Q459">
        <f>IF(A459="","",COUNTIF($A$2:A459,A459))</f>
        <v/>
      </c>
      <c r="R459">
        <f>IF(A459="","",MAX($R$1:R458)+1)</f>
        <v/>
      </c>
    </row>
    <row r="460">
      <c r="A460" s="2" t="n"/>
      <c r="H460" s="3" t="n"/>
      <c r="I460" s="3" t="n"/>
      <c r="J460" s="4">
        <f>IF(AND(H460&lt;&gt;"",I460&lt;&gt;""),(I460-H460)*24,"")</f>
        <v/>
      </c>
      <c r="M460">
        <f>IF(C460&lt;&gt;"",C460,M459)</f>
        <v/>
      </c>
      <c r="N460">
        <f>IF(D460&lt;&gt;"",D460,N459)</f>
        <v/>
      </c>
      <c r="O460">
        <f>M460&amp;": "&amp;N460</f>
        <v/>
      </c>
      <c r="P460">
        <f>IF(O460="","",IF(COUNTIF($O$1:O459,O460)=0,MAX($P$1:P459)+1,""))</f>
        <v/>
      </c>
      <c r="Q460">
        <f>IF(A460="","",COUNTIF($A$2:A460,A460))</f>
        <v/>
      </c>
      <c r="R460">
        <f>IF(A460="","",MAX($R$1:R459)+1)</f>
        <v/>
      </c>
    </row>
    <row r="461">
      <c r="A461" s="2" t="n"/>
      <c r="H461" s="3" t="n"/>
      <c r="I461" s="3" t="n"/>
      <c r="J461" s="4">
        <f>IF(AND(H461&lt;&gt;"",I461&lt;&gt;""),(I461-H461)*24,"")</f>
        <v/>
      </c>
      <c r="M461">
        <f>IF(C461&lt;&gt;"",C461,M460)</f>
        <v/>
      </c>
      <c r="N461">
        <f>IF(D461&lt;&gt;"",D461,N460)</f>
        <v/>
      </c>
      <c r="O461">
        <f>M461&amp;": "&amp;N461</f>
        <v/>
      </c>
      <c r="P461">
        <f>IF(O461="","",IF(COUNTIF($O$1:O460,O461)=0,MAX($P$1:P460)+1,""))</f>
        <v/>
      </c>
      <c r="Q461">
        <f>IF(A461="","",COUNTIF($A$2:A461,A461))</f>
        <v/>
      </c>
      <c r="R461">
        <f>IF(A461="","",MAX($R$1:R460)+1)</f>
        <v/>
      </c>
    </row>
    <row r="462">
      <c r="A462" s="2" t="n"/>
      <c r="H462" s="3" t="n"/>
      <c r="I462" s="3" t="n"/>
      <c r="J462" s="4">
        <f>IF(AND(H462&lt;&gt;"",I462&lt;&gt;""),(I462-H462)*24,"")</f>
        <v/>
      </c>
      <c r="M462">
        <f>IF(C462&lt;&gt;"",C462,M461)</f>
        <v/>
      </c>
      <c r="N462">
        <f>IF(D462&lt;&gt;"",D462,N461)</f>
        <v/>
      </c>
      <c r="O462">
        <f>M462&amp;": "&amp;N462</f>
        <v/>
      </c>
      <c r="P462">
        <f>IF(O462="","",IF(COUNTIF($O$1:O461,O462)=0,MAX($P$1:P461)+1,""))</f>
        <v/>
      </c>
      <c r="Q462">
        <f>IF(A462="","",COUNTIF($A$2:A462,A462))</f>
        <v/>
      </c>
      <c r="R462">
        <f>IF(A462="","",MAX($R$1:R461)+1)</f>
        <v/>
      </c>
    </row>
    <row r="463">
      <c r="A463" s="2" t="n"/>
      <c r="H463" s="3" t="n"/>
      <c r="I463" s="3" t="n"/>
      <c r="J463" s="4">
        <f>IF(AND(H463&lt;&gt;"",I463&lt;&gt;""),(I463-H463)*24,"")</f>
        <v/>
      </c>
      <c r="M463">
        <f>IF(C463&lt;&gt;"",C463,M462)</f>
        <v/>
      </c>
      <c r="N463">
        <f>IF(D463&lt;&gt;"",D463,N462)</f>
        <v/>
      </c>
      <c r="O463">
        <f>M463&amp;": "&amp;N463</f>
        <v/>
      </c>
      <c r="P463">
        <f>IF(O463="","",IF(COUNTIF($O$1:O462,O463)=0,MAX($P$1:P462)+1,""))</f>
        <v/>
      </c>
      <c r="Q463">
        <f>IF(A463="","",COUNTIF($A$2:A463,A463))</f>
        <v/>
      </c>
      <c r="R463">
        <f>IF(A463="","",MAX($R$1:R462)+1)</f>
        <v/>
      </c>
    </row>
    <row r="464">
      <c r="A464" s="2" t="n"/>
      <c r="H464" s="3" t="n"/>
      <c r="I464" s="3" t="n"/>
      <c r="J464" s="4">
        <f>IF(AND(H464&lt;&gt;"",I464&lt;&gt;""),(I464-H464)*24,"")</f>
        <v/>
      </c>
      <c r="M464">
        <f>IF(C464&lt;&gt;"",C464,M463)</f>
        <v/>
      </c>
      <c r="N464">
        <f>IF(D464&lt;&gt;"",D464,N463)</f>
        <v/>
      </c>
      <c r="O464">
        <f>M464&amp;": "&amp;N464</f>
        <v/>
      </c>
      <c r="P464">
        <f>IF(O464="","",IF(COUNTIF($O$1:O463,O464)=0,MAX($P$1:P463)+1,""))</f>
        <v/>
      </c>
      <c r="Q464">
        <f>IF(A464="","",COUNTIF($A$2:A464,A464))</f>
        <v/>
      </c>
      <c r="R464">
        <f>IF(A464="","",MAX($R$1:R463)+1)</f>
        <v/>
      </c>
    </row>
    <row r="465">
      <c r="A465" s="2" t="n"/>
      <c r="H465" s="3" t="n"/>
      <c r="I465" s="3" t="n"/>
      <c r="J465" s="4">
        <f>IF(AND(H465&lt;&gt;"",I465&lt;&gt;""),(I465-H465)*24,"")</f>
        <v/>
      </c>
      <c r="M465">
        <f>IF(C465&lt;&gt;"",C465,M464)</f>
        <v/>
      </c>
      <c r="N465">
        <f>IF(D465&lt;&gt;"",D465,N464)</f>
        <v/>
      </c>
      <c r="O465">
        <f>M465&amp;": "&amp;N465</f>
        <v/>
      </c>
      <c r="P465">
        <f>IF(O465="","",IF(COUNTIF($O$1:O464,O465)=0,MAX($P$1:P464)+1,""))</f>
        <v/>
      </c>
      <c r="Q465">
        <f>IF(A465="","",COUNTIF($A$2:A465,A465))</f>
        <v/>
      </c>
      <c r="R465">
        <f>IF(A465="","",MAX($R$1:R464)+1)</f>
        <v/>
      </c>
    </row>
    <row r="466">
      <c r="A466" s="2" t="n"/>
      <c r="H466" s="3" t="n"/>
      <c r="I466" s="3" t="n"/>
      <c r="J466" s="4">
        <f>IF(AND(H466&lt;&gt;"",I466&lt;&gt;""),(I466-H466)*24,"")</f>
        <v/>
      </c>
      <c r="M466">
        <f>IF(C466&lt;&gt;"",C466,M465)</f>
        <v/>
      </c>
      <c r="N466">
        <f>IF(D466&lt;&gt;"",D466,N465)</f>
        <v/>
      </c>
      <c r="O466">
        <f>M466&amp;": "&amp;N466</f>
        <v/>
      </c>
      <c r="P466">
        <f>IF(O466="","",IF(COUNTIF($O$1:O465,O466)=0,MAX($P$1:P465)+1,""))</f>
        <v/>
      </c>
      <c r="Q466">
        <f>IF(A466="","",COUNTIF($A$2:A466,A466))</f>
        <v/>
      </c>
      <c r="R466">
        <f>IF(A466="","",MAX($R$1:R465)+1)</f>
        <v/>
      </c>
    </row>
    <row r="467">
      <c r="A467" s="2" t="n"/>
      <c r="H467" s="3" t="n"/>
      <c r="I467" s="3" t="n"/>
      <c r="J467" s="4">
        <f>IF(AND(H467&lt;&gt;"",I467&lt;&gt;""),(I467-H467)*24,"")</f>
        <v/>
      </c>
      <c r="M467">
        <f>IF(C467&lt;&gt;"",C467,M466)</f>
        <v/>
      </c>
      <c r="N467">
        <f>IF(D467&lt;&gt;"",D467,N466)</f>
        <v/>
      </c>
      <c r="O467">
        <f>M467&amp;": "&amp;N467</f>
        <v/>
      </c>
      <c r="P467">
        <f>IF(O467="","",IF(COUNTIF($O$1:O466,O467)=0,MAX($P$1:P466)+1,""))</f>
        <v/>
      </c>
      <c r="Q467">
        <f>IF(A467="","",COUNTIF($A$2:A467,A467))</f>
        <v/>
      </c>
      <c r="R467">
        <f>IF(A467="","",MAX($R$1:R466)+1)</f>
        <v/>
      </c>
    </row>
    <row r="468">
      <c r="A468" s="2" t="n"/>
      <c r="H468" s="3" t="n"/>
      <c r="I468" s="3" t="n"/>
      <c r="J468" s="4">
        <f>IF(AND(H468&lt;&gt;"",I468&lt;&gt;""),(I468-H468)*24,"")</f>
        <v/>
      </c>
      <c r="M468">
        <f>IF(C468&lt;&gt;"",C468,M467)</f>
        <v/>
      </c>
      <c r="N468">
        <f>IF(D468&lt;&gt;"",D468,N467)</f>
        <v/>
      </c>
      <c r="O468">
        <f>M468&amp;": "&amp;N468</f>
        <v/>
      </c>
      <c r="P468">
        <f>IF(O468="","",IF(COUNTIF($O$1:O467,O468)=0,MAX($P$1:P467)+1,""))</f>
        <v/>
      </c>
      <c r="Q468">
        <f>IF(A468="","",COUNTIF($A$2:A468,A468))</f>
        <v/>
      </c>
      <c r="R468">
        <f>IF(A468="","",MAX($R$1:R467)+1)</f>
        <v/>
      </c>
    </row>
    <row r="469">
      <c r="A469" s="2" t="n"/>
      <c r="H469" s="3" t="n"/>
      <c r="I469" s="3" t="n"/>
      <c r="J469" s="4">
        <f>IF(AND(H469&lt;&gt;"",I469&lt;&gt;""),(I469-H469)*24,"")</f>
        <v/>
      </c>
      <c r="M469">
        <f>IF(C469&lt;&gt;"",C469,M468)</f>
        <v/>
      </c>
      <c r="N469">
        <f>IF(D469&lt;&gt;"",D469,N468)</f>
        <v/>
      </c>
      <c r="O469">
        <f>M469&amp;": "&amp;N469</f>
        <v/>
      </c>
      <c r="P469">
        <f>IF(O469="","",IF(COUNTIF($O$1:O468,O469)=0,MAX($P$1:P468)+1,""))</f>
        <v/>
      </c>
      <c r="Q469">
        <f>IF(A469="","",COUNTIF($A$2:A469,A469))</f>
        <v/>
      </c>
      <c r="R469">
        <f>IF(A469="","",MAX($R$1:R468)+1)</f>
        <v/>
      </c>
    </row>
    <row r="470">
      <c r="A470" s="2" t="n"/>
      <c r="H470" s="3" t="n"/>
      <c r="I470" s="3" t="n"/>
      <c r="J470" s="4">
        <f>IF(AND(H470&lt;&gt;"",I470&lt;&gt;""),(I470-H470)*24,"")</f>
        <v/>
      </c>
      <c r="M470">
        <f>IF(C470&lt;&gt;"",C470,M469)</f>
        <v/>
      </c>
      <c r="N470">
        <f>IF(D470&lt;&gt;"",D470,N469)</f>
        <v/>
      </c>
      <c r="O470">
        <f>M470&amp;": "&amp;N470</f>
        <v/>
      </c>
      <c r="P470">
        <f>IF(O470="","",IF(COUNTIF($O$1:O469,O470)=0,MAX($P$1:P469)+1,""))</f>
        <v/>
      </c>
      <c r="Q470">
        <f>IF(A470="","",COUNTIF($A$2:A470,A470))</f>
        <v/>
      </c>
      <c r="R470">
        <f>IF(A470="","",MAX($R$1:R469)+1)</f>
        <v/>
      </c>
    </row>
    <row r="471">
      <c r="A471" s="2" t="n"/>
      <c r="H471" s="3" t="n"/>
      <c r="I471" s="3" t="n"/>
      <c r="J471" s="4">
        <f>IF(AND(H471&lt;&gt;"",I471&lt;&gt;""),(I471-H471)*24,"")</f>
        <v/>
      </c>
      <c r="M471">
        <f>IF(C471&lt;&gt;"",C471,M470)</f>
        <v/>
      </c>
      <c r="N471">
        <f>IF(D471&lt;&gt;"",D471,N470)</f>
        <v/>
      </c>
      <c r="O471">
        <f>M471&amp;": "&amp;N471</f>
        <v/>
      </c>
      <c r="P471">
        <f>IF(O471="","",IF(COUNTIF($O$1:O470,O471)=0,MAX($P$1:P470)+1,""))</f>
        <v/>
      </c>
      <c r="Q471">
        <f>IF(A471="","",COUNTIF($A$2:A471,A471))</f>
        <v/>
      </c>
      <c r="R471">
        <f>IF(A471="","",MAX($R$1:R470)+1)</f>
        <v/>
      </c>
    </row>
    <row r="472">
      <c r="A472" s="2" t="n"/>
      <c r="H472" s="3" t="n"/>
      <c r="I472" s="3" t="n"/>
      <c r="J472" s="4">
        <f>IF(AND(H472&lt;&gt;"",I472&lt;&gt;""),(I472-H472)*24,"")</f>
        <v/>
      </c>
      <c r="M472">
        <f>IF(C472&lt;&gt;"",C472,M471)</f>
        <v/>
      </c>
      <c r="N472">
        <f>IF(D472&lt;&gt;"",D472,N471)</f>
        <v/>
      </c>
      <c r="O472">
        <f>M472&amp;": "&amp;N472</f>
        <v/>
      </c>
      <c r="P472">
        <f>IF(O472="","",IF(COUNTIF($O$1:O471,O472)=0,MAX($P$1:P471)+1,""))</f>
        <v/>
      </c>
      <c r="Q472">
        <f>IF(A472="","",COUNTIF($A$2:A472,A472))</f>
        <v/>
      </c>
      <c r="R472">
        <f>IF(A472="","",MAX($R$1:R471)+1)</f>
        <v/>
      </c>
    </row>
    <row r="473">
      <c r="A473" s="2" t="n"/>
      <c r="H473" s="3" t="n"/>
      <c r="I473" s="3" t="n"/>
      <c r="J473" s="4">
        <f>IF(AND(H473&lt;&gt;"",I473&lt;&gt;""),(I473-H473)*24,"")</f>
        <v/>
      </c>
      <c r="M473">
        <f>IF(C473&lt;&gt;"",C473,M472)</f>
        <v/>
      </c>
      <c r="N473">
        <f>IF(D473&lt;&gt;"",D473,N472)</f>
        <v/>
      </c>
      <c r="O473">
        <f>M473&amp;": "&amp;N473</f>
        <v/>
      </c>
      <c r="P473">
        <f>IF(O473="","",IF(COUNTIF($O$1:O472,O473)=0,MAX($P$1:P472)+1,""))</f>
        <v/>
      </c>
      <c r="Q473">
        <f>IF(A473="","",COUNTIF($A$2:A473,A473))</f>
        <v/>
      </c>
      <c r="R473">
        <f>IF(A473="","",MAX($R$1:R472)+1)</f>
        <v/>
      </c>
    </row>
    <row r="474">
      <c r="A474" s="2" t="n"/>
      <c r="H474" s="3" t="n"/>
      <c r="I474" s="3" t="n"/>
      <c r="J474" s="4">
        <f>IF(AND(H474&lt;&gt;"",I474&lt;&gt;""),(I474-H474)*24,"")</f>
        <v/>
      </c>
      <c r="M474">
        <f>IF(C474&lt;&gt;"",C474,M473)</f>
        <v/>
      </c>
      <c r="N474">
        <f>IF(D474&lt;&gt;"",D474,N473)</f>
        <v/>
      </c>
      <c r="O474">
        <f>M474&amp;": "&amp;N474</f>
        <v/>
      </c>
      <c r="P474">
        <f>IF(O474="","",IF(COUNTIF($O$1:O473,O474)=0,MAX($P$1:P473)+1,""))</f>
        <v/>
      </c>
      <c r="Q474">
        <f>IF(A474="","",COUNTIF($A$2:A474,A474))</f>
        <v/>
      </c>
      <c r="R474">
        <f>IF(A474="","",MAX($R$1:R473)+1)</f>
        <v/>
      </c>
    </row>
    <row r="475">
      <c r="A475" s="2" t="n"/>
      <c r="H475" s="3" t="n"/>
      <c r="I475" s="3" t="n"/>
      <c r="J475" s="4">
        <f>IF(AND(H475&lt;&gt;"",I475&lt;&gt;""),(I475-H475)*24,"")</f>
        <v/>
      </c>
      <c r="M475">
        <f>IF(C475&lt;&gt;"",C475,M474)</f>
        <v/>
      </c>
      <c r="N475">
        <f>IF(D475&lt;&gt;"",D475,N474)</f>
        <v/>
      </c>
      <c r="O475">
        <f>M475&amp;": "&amp;N475</f>
        <v/>
      </c>
      <c r="P475">
        <f>IF(O475="","",IF(COUNTIF($O$1:O474,O475)=0,MAX($P$1:P474)+1,""))</f>
        <v/>
      </c>
      <c r="Q475">
        <f>IF(A475="","",COUNTIF($A$2:A475,A475))</f>
        <v/>
      </c>
      <c r="R475">
        <f>IF(A475="","",MAX($R$1:R474)+1)</f>
        <v/>
      </c>
    </row>
    <row r="476">
      <c r="A476" s="2" t="n"/>
      <c r="H476" s="3" t="n"/>
      <c r="I476" s="3" t="n"/>
      <c r="J476" s="4">
        <f>IF(AND(H476&lt;&gt;"",I476&lt;&gt;""),(I476-H476)*24,"")</f>
        <v/>
      </c>
      <c r="M476">
        <f>IF(C476&lt;&gt;"",C476,M475)</f>
        <v/>
      </c>
      <c r="N476">
        <f>IF(D476&lt;&gt;"",D476,N475)</f>
        <v/>
      </c>
      <c r="O476">
        <f>M476&amp;": "&amp;N476</f>
        <v/>
      </c>
      <c r="P476">
        <f>IF(O476="","",IF(COUNTIF($O$1:O475,O476)=0,MAX($P$1:P475)+1,""))</f>
        <v/>
      </c>
      <c r="Q476">
        <f>IF(A476="","",COUNTIF($A$2:A476,A476))</f>
        <v/>
      </c>
      <c r="R476">
        <f>IF(A476="","",MAX($R$1:R475)+1)</f>
        <v/>
      </c>
    </row>
    <row r="477">
      <c r="A477" s="2" t="n"/>
      <c r="H477" s="3" t="n"/>
      <c r="I477" s="3" t="n"/>
      <c r="J477" s="4">
        <f>IF(AND(H477&lt;&gt;"",I477&lt;&gt;""),(I477-H477)*24,"")</f>
        <v/>
      </c>
      <c r="M477">
        <f>IF(C477&lt;&gt;"",C477,M476)</f>
        <v/>
      </c>
      <c r="N477">
        <f>IF(D477&lt;&gt;"",D477,N476)</f>
        <v/>
      </c>
      <c r="O477">
        <f>M477&amp;": "&amp;N477</f>
        <v/>
      </c>
      <c r="P477">
        <f>IF(O477="","",IF(COUNTIF($O$1:O476,O477)=0,MAX($P$1:P476)+1,""))</f>
        <v/>
      </c>
      <c r="Q477">
        <f>IF(A477="","",COUNTIF($A$2:A477,A477))</f>
        <v/>
      </c>
      <c r="R477">
        <f>IF(A477="","",MAX($R$1:R476)+1)</f>
        <v/>
      </c>
    </row>
    <row r="478">
      <c r="A478" s="2" t="n"/>
      <c r="H478" s="3" t="n"/>
      <c r="I478" s="3" t="n"/>
      <c r="J478" s="4">
        <f>IF(AND(H478&lt;&gt;"",I478&lt;&gt;""),(I478-H478)*24,"")</f>
        <v/>
      </c>
      <c r="M478">
        <f>IF(C478&lt;&gt;"",C478,M477)</f>
        <v/>
      </c>
      <c r="N478">
        <f>IF(D478&lt;&gt;"",D478,N477)</f>
        <v/>
      </c>
      <c r="O478">
        <f>M478&amp;": "&amp;N478</f>
        <v/>
      </c>
      <c r="P478">
        <f>IF(O478="","",IF(COUNTIF($O$1:O477,O478)=0,MAX($P$1:P477)+1,""))</f>
        <v/>
      </c>
      <c r="Q478">
        <f>IF(A478="","",COUNTIF($A$2:A478,A478))</f>
        <v/>
      </c>
      <c r="R478">
        <f>IF(A478="","",MAX($R$1:R477)+1)</f>
        <v/>
      </c>
    </row>
    <row r="479">
      <c r="A479" s="2" t="n"/>
      <c r="H479" s="3" t="n"/>
      <c r="I479" s="3" t="n"/>
      <c r="J479" s="4">
        <f>IF(AND(H479&lt;&gt;"",I479&lt;&gt;""),(I479-H479)*24,"")</f>
        <v/>
      </c>
      <c r="M479">
        <f>IF(C479&lt;&gt;"",C479,M478)</f>
        <v/>
      </c>
      <c r="N479">
        <f>IF(D479&lt;&gt;"",D479,N478)</f>
        <v/>
      </c>
      <c r="O479">
        <f>M479&amp;": "&amp;N479</f>
        <v/>
      </c>
      <c r="P479">
        <f>IF(O479="","",IF(COUNTIF($O$1:O478,O479)=0,MAX($P$1:P478)+1,""))</f>
        <v/>
      </c>
      <c r="Q479">
        <f>IF(A479="","",COUNTIF($A$2:A479,A479))</f>
        <v/>
      </c>
      <c r="R479">
        <f>IF(A479="","",MAX($R$1:R478)+1)</f>
        <v/>
      </c>
    </row>
    <row r="480">
      <c r="A480" s="2" t="n"/>
      <c r="H480" s="3" t="n"/>
      <c r="I480" s="3" t="n"/>
      <c r="J480" s="4">
        <f>IF(AND(H480&lt;&gt;"",I480&lt;&gt;""),(I480-H480)*24,"")</f>
        <v/>
      </c>
      <c r="M480">
        <f>IF(C480&lt;&gt;"",C480,M479)</f>
        <v/>
      </c>
      <c r="N480">
        <f>IF(D480&lt;&gt;"",D480,N479)</f>
        <v/>
      </c>
      <c r="O480">
        <f>M480&amp;": "&amp;N480</f>
        <v/>
      </c>
      <c r="P480">
        <f>IF(O480="","",IF(COUNTIF($O$1:O479,O480)=0,MAX($P$1:P479)+1,""))</f>
        <v/>
      </c>
      <c r="Q480">
        <f>IF(A480="","",COUNTIF($A$2:A480,A480))</f>
        <v/>
      </c>
      <c r="R480">
        <f>IF(A480="","",MAX($R$1:R479)+1)</f>
        <v/>
      </c>
    </row>
    <row r="481">
      <c r="A481" s="2" t="n"/>
      <c r="H481" s="3" t="n"/>
      <c r="I481" s="3" t="n"/>
      <c r="J481" s="4">
        <f>IF(AND(H481&lt;&gt;"",I481&lt;&gt;""),(I481-H481)*24,"")</f>
        <v/>
      </c>
      <c r="M481">
        <f>IF(C481&lt;&gt;"",C481,M480)</f>
        <v/>
      </c>
      <c r="N481">
        <f>IF(D481&lt;&gt;"",D481,N480)</f>
        <v/>
      </c>
      <c r="O481">
        <f>M481&amp;": "&amp;N481</f>
        <v/>
      </c>
      <c r="P481">
        <f>IF(O481="","",IF(COUNTIF($O$1:O480,O481)=0,MAX($P$1:P480)+1,""))</f>
        <v/>
      </c>
      <c r="Q481">
        <f>IF(A481="","",COUNTIF($A$2:A481,A481))</f>
        <v/>
      </c>
      <c r="R481">
        <f>IF(A481="","",MAX($R$1:R480)+1)</f>
        <v/>
      </c>
    </row>
    <row r="482">
      <c r="A482" s="2" t="n"/>
      <c r="H482" s="3" t="n"/>
      <c r="I482" s="3" t="n"/>
      <c r="J482" s="4">
        <f>IF(AND(H482&lt;&gt;"",I482&lt;&gt;""),(I482-H482)*24,"")</f>
        <v/>
      </c>
      <c r="M482">
        <f>IF(C482&lt;&gt;"",C482,M481)</f>
        <v/>
      </c>
      <c r="N482">
        <f>IF(D482&lt;&gt;"",D482,N481)</f>
        <v/>
      </c>
      <c r="O482">
        <f>M482&amp;": "&amp;N482</f>
        <v/>
      </c>
      <c r="P482">
        <f>IF(O482="","",IF(COUNTIF($O$1:O481,O482)=0,MAX($P$1:P481)+1,""))</f>
        <v/>
      </c>
      <c r="Q482">
        <f>IF(A482="","",COUNTIF($A$2:A482,A482))</f>
        <v/>
      </c>
      <c r="R482">
        <f>IF(A482="","",MAX($R$1:R481)+1)</f>
        <v/>
      </c>
    </row>
    <row r="483">
      <c r="A483" s="2" t="n"/>
      <c r="H483" s="3" t="n"/>
      <c r="I483" s="3" t="n"/>
      <c r="J483" s="4">
        <f>IF(AND(H483&lt;&gt;"",I483&lt;&gt;""),(I483-H483)*24,"")</f>
        <v/>
      </c>
      <c r="M483">
        <f>IF(C483&lt;&gt;"",C483,M482)</f>
        <v/>
      </c>
      <c r="N483">
        <f>IF(D483&lt;&gt;"",D483,N482)</f>
        <v/>
      </c>
      <c r="O483">
        <f>M483&amp;": "&amp;N483</f>
        <v/>
      </c>
      <c r="P483">
        <f>IF(O483="","",IF(COUNTIF($O$1:O482,O483)=0,MAX($P$1:P482)+1,""))</f>
        <v/>
      </c>
      <c r="Q483">
        <f>IF(A483="","",COUNTIF($A$2:A483,A483))</f>
        <v/>
      </c>
      <c r="R483">
        <f>IF(A483="","",MAX($R$1:R482)+1)</f>
        <v/>
      </c>
    </row>
    <row r="484">
      <c r="A484" s="2" t="n"/>
      <c r="H484" s="3" t="n"/>
      <c r="I484" s="3" t="n"/>
      <c r="J484" s="4">
        <f>IF(AND(H484&lt;&gt;"",I484&lt;&gt;""),(I484-H484)*24,"")</f>
        <v/>
      </c>
      <c r="M484">
        <f>IF(C484&lt;&gt;"",C484,M483)</f>
        <v/>
      </c>
      <c r="N484">
        <f>IF(D484&lt;&gt;"",D484,N483)</f>
        <v/>
      </c>
      <c r="O484">
        <f>M484&amp;": "&amp;N484</f>
        <v/>
      </c>
      <c r="P484">
        <f>IF(O484="","",IF(COUNTIF($O$1:O483,O484)=0,MAX($P$1:P483)+1,""))</f>
        <v/>
      </c>
      <c r="Q484">
        <f>IF(A484="","",COUNTIF($A$2:A484,A484))</f>
        <v/>
      </c>
      <c r="R484">
        <f>IF(A484="","",MAX($R$1:R483)+1)</f>
        <v/>
      </c>
    </row>
    <row r="485">
      <c r="A485" s="2" t="n"/>
      <c r="H485" s="3" t="n"/>
      <c r="I485" s="3" t="n"/>
      <c r="J485" s="4">
        <f>IF(AND(H485&lt;&gt;"",I485&lt;&gt;""),(I485-H485)*24,"")</f>
        <v/>
      </c>
      <c r="M485">
        <f>IF(C485&lt;&gt;"",C485,M484)</f>
        <v/>
      </c>
      <c r="N485">
        <f>IF(D485&lt;&gt;"",D485,N484)</f>
        <v/>
      </c>
      <c r="O485">
        <f>M485&amp;": "&amp;N485</f>
        <v/>
      </c>
      <c r="P485">
        <f>IF(O485="","",IF(COUNTIF($O$1:O484,O485)=0,MAX($P$1:P484)+1,""))</f>
        <v/>
      </c>
      <c r="Q485">
        <f>IF(A485="","",COUNTIF($A$2:A485,A485))</f>
        <v/>
      </c>
      <c r="R485">
        <f>IF(A485="","",MAX($R$1:R484)+1)</f>
        <v/>
      </c>
    </row>
    <row r="486">
      <c r="A486" s="2" t="n"/>
      <c r="H486" s="3" t="n"/>
      <c r="I486" s="3" t="n"/>
      <c r="J486" s="4">
        <f>IF(AND(H486&lt;&gt;"",I486&lt;&gt;""),(I486-H486)*24,"")</f>
        <v/>
      </c>
      <c r="M486">
        <f>IF(C486&lt;&gt;"",C486,M485)</f>
        <v/>
      </c>
      <c r="N486">
        <f>IF(D486&lt;&gt;"",D486,N485)</f>
        <v/>
      </c>
      <c r="O486">
        <f>M486&amp;": "&amp;N486</f>
        <v/>
      </c>
      <c r="P486">
        <f>IF(O486="","",IF(COUNTIF($O$1:O485,O486)=0,MAX($P$1:P485)+1,""))</f>
        <v/>
      </c>
      <c r="Q486">
        <f>IF(A486="","",COUNTIF($A$2:A486,A486))</f>
        <v/>
      </c>
      <c r="R486">
        <f>IF(A486="","",MAX($R$1:R485)+1)</f>
        <v/>
      </c>
    </row>
    <row r="487">
      <c r="A487" s="2" t="n"/>
      <c r="H487" s="3" t="n"/>
      <c r="I487" s="3" t="n"/>
      <c r="J487" s="4">
        <f>IF(AND(H487&lt;&gt;"",I487&lt;&gt;""),(I487-H487)*24,"")</f>
        <v/>
      </c>
      <c r="M487">
        <f>IF(C487&lt;&gt;"",C487,M486)</f>
        <v/>
      </c>
      <c r="N487">
        <f>IF(D487&lt;&gt;"",D487,N486)</f>
        <v/>
      </c>
      <c r="O487">
        <f>M487&amp;": "&amp;N487</f>
        <v/>
      </c>
      <c r="P487">
        <f>IF(O487="","",IF(COUNTIF($O$1:O486,O487)=0,MAX($P$1:P486)+1,""))</f>
        <v/>
      </c>
      <c r="Q487">
        <f>IF(A487="","",COUNTIF($A$2:A487,A487))</f>
        <v/>
      </c>
      <c r="R487">
        <f>IF(A487="","",MAX($R$1:R486)+1)</f>
        <v/>
      </c>
    </row>
    <row r="488">
      <c r="A488" s="2" t="n"/>
      <c r="H488" s="3" t="n"/>
      <c r="I488" s="3" t="n"/>
      <c r="J488" s="4">
        <f>IF(AND(H488&lt;&gt;"",I488&lt;&gt;""),(I488-H488)*24,"")</f>
        <v/>
      </c>
      <c r="M488">
        <f>IF(C488&lt;&gt;"",C488,M487)</f>
        <v/>
      </c>
      <c r="N488">
        <f>IF(D488&lt;&gt;"",D488,N487)</f>
        <v/>
      </c>
      <c r="O488">
        <f>M488&amp;": "&amp;N488</f>
        <v/>
      </c>
      <c r="P488">
        <f>IF(O488="","",IF(COUNTIF($O$1:O487,O488)=0,MAX($P$1:P487)+1,""))</f>
        <v/>
      </c>
      <c r="Q488">
        <f>IF(A488="","",COUNTIF($A$2:A488,A488))</f>
        <v/>
      </c>
      <c r="R488">
        <f>IF(A488="","",MAX($R$1:R487)+1)</f>
        <v/>
      </c>
    </row>
    <row r="489">
      <c r="A489" s="2" t="n"/>
      <c r="H489" s="3" t="n"/>
      <c r="I489" s="3" t="n"/>
      <c r="J489" s="4">
        <f>IF(AND(H489&lt;&gt;"",I489&lt;&gt;""),(I489-H489)*24,"")</f>
        <v/>
      </c>
      <c r="M489">
        <f>IF(C489&lt;&gt;"",C489,M488)</f>
        <v/>
      </c>
      <c r="N489">
        <f>IF(D489&lt;&gt;"",D489,N488)</f>
        <v/>
      </c>
      <c r="O489">
        <f>M489&amp;": "&amp;N489</f>
        <v/>
      </c>
      <c r="P489">
        <f>IF(O489="","",IF(COUNTIF($O$1:O488,O489)=0,MAX($P$1:P488)+1,""))</f>
        <v/>
      </c>
      <c r="Q489">
        <f>IF(A489="","",COUNTIF($A$2:A489,A489))</f>
        <v/>
      </c>
      <c r="R489">
        <f>IF(A489="","",MAX($R$1:R488)+1)</f>
        <v/>
      </c>
    </row>
    <row r="490">
      <c r="A490" s="2" t="n"/>
      <c r="H490" s="3" t="n"/>
      <c r="I490" s="3" t="n"/>
      <c r="J490" s="4">
        <f>IF(AND(H490&lt;&gt;"",I490&lt;&gt;""),(I490-H490)*24,"")</f>
        <v/>
      </c>
      <c r="M490">
        <f>IF(C490&lt;&gt;"",C490,M489)</f>
        <v/>
      </c>
      <c r="N490">
        <f>IF(D490&lt;&gt;"",D490,N489)</f>
        <v/>
      </c>
      <c r="O490">
        <f>M490&amp;": "&amp;N490</f>
        <v/>
      </c>
      <c r="P490">
        <f>IF(O490="","",IF(COUNTIF($O$1:O489,O490)=0,MAX($P$1:P489)+1,""))</f>
        <v/>
      </c>
      <c r="Q490">
        <f>IF(A490="","",COUNTIF($A$2:A490,A490))</f>
        <v/>
      </c>
      <c r="R490">
        <f>IF(A490="","",MAX($R$1:R489)+1)</f>
        <v/>
      </c>
    </row>
    <row r="491">
      <c r="A491" s="2" t="n"/>
      <c r="H491" s="3" t="n"/>
      <c r="I491" s="3" t="n"/>
      <c r="J491" s="4">
        <f>IF(AND(H491&lt;&gt;"",I491&lt;&gt;""),(I491-H491)*24,"")</f>
        <v/>
      </c>
      <c r="M491">
        <f>IF(C491&lt;&gt;"",C491,M490)</f>
        <v/>
      </c>
      <c r="N491">
        <f>IF(D491&lt;&gt;"",D491,N490)</f>
        <v/>
      </c>
      <c r="O491">
        <f>M491&amp;": "&amp;N491</f>
        <v/>
      </c>
      <c r="P491">
        <f>IF(O491="","",IF(COUNTIF($O$1:O490,O491)=0,MAX($P$1:P490)+1,""))</f>
        <v/>
      </c>
      <c r="Q491">
        <f>IF(A491="","",COUNTIF($A$2:A491,A491))</f>
        <v/>
      </c>
      <c r="R491">
        <f>IF(A491="","",MAX($R$1:R490)+1)</f>
        <v/>
      </c>
    </row>
    <row r="492">
      <c r="A492" s="2" t="n"/>
      <c r="H492" s="3" t="n"/>
      <c r="I492" s="3" t="n"/>
      <c r="J492" s="4">
        <f>IF(AND(H492&lt;&gt;"",I492&lt;&gt;""),(I492-H492)*24,"")</f>
        <v/>
      </c>
      <c r="M492">
        <f>IF(C492&lt;&gt;"",C492,M491)</f>
        <v/>
      </c>
      <c r="N492">
        <f>IF(D492&lt;&gt;"",D492,N491)</f>
        <v/>
      </c>
      <c r="O492">
        <f>M492&amp;": "&amp;N492</f>
        <v/>
      </c>
      <c r="P492">
        <f>IF(O492="","",IF(COUNTIF($O$1:O491,O492)=0,MAX($P$1:P491)+1,""))</f>
        <v/>
      </c>
      <c r="Q492">
        <f>IF(A492="","",COUNTIF($A$2:A492,A492))</f>
        <v/>
      </c>
      <c r="R492">
        <f>IF(A492="","",MAX($R$1:R491)+1)</f>
        <v/>
      </c>
    </row>
    <row r="493">
      <c r="A493" s="2" t="n"/>
      <c r="H493" s="3" t="n"/>
      <c r="I493" s="3" t="n"/>
      <c r="J493" s="4">
        <f>IF(AND(H493&lt;&gt;"",I493&lt;&gt;""),(I493-H493)*24,"")</f>
        <v/>
      </c>
      <c r="M493">
        <f>IF(C493&lt;&gt;"",C493,M492)</f>
        <v/>
      </c>
      <c r="N493">
        <f>IF(D493&lt;&gt;"",D493,N492)</f>
        <v/>
      </c>
      <c r="O493">
        <f>M493&amp;": "&amp;N493</f>
        <v/>
      </c>
      <c r="P493">
        <f>IF(O493="","",IF(COUNTIF($O$1:O492,O493)=0,MAX($P$1:P492)+1,""))</f>
        <v/>
      </c>
      <c r="Q493">
        <f>IF(A493="","",COUNTIF($A$2:A493,A493))</f>
        <v/>
      </c>
      <c r="R493">
        <f>IF(A493="","",MAX($R$1:R492)+1)</f>
        <v/>
      </c>
    </row>
    <row r="494">
      <c r="A494" s="2" t="n"/>
      <c r="H494" s="3" t="n"/>
      <c r="I494" s="3" t="n"/>
      <c r="J494" s="4">
        <f>IF(AND(H494&lt;&gt;"",I494&lt;&gt;""),(I494-H494)*24,"")</f>
        <v/>
      </c>
      <c r="M494">
        <f>IF(C494&lt;&gt;"",C494,M493)</f>
        <v/>
      </c>
      <c r="N494">
        <f>IF(D494&lt;&gt;"",D494,N493)</f>
        <v/>
      </c>
      <c r="O494">
        <f>M494&amp;": "&amp;N494</f>
        <v/>
      </c>
      <c r="P494">
        <f>IF(O494="","",IF(COUNTIF($O$1:O493,O494)=0,MAX($P$1:P493)+1,""))</f>
        <v/>
      </c>
      <c r="Q494">
        <f>IF(A494="","",COUNTIF($A$2:A494,A494))</f>
        <v/>
      </c>
      <c r="R494">
        <f>IF(A494="","",MAX($R$1:R493)+1)</f>
        <v/>
      </c>
    </row>
    <row r="495">
      <c r="A495" s="2" t="n"/>
      <c r="H495" s="3" t="n"/>
      <c r="I495" s="3" t="n"/>
      <c r="J495" s="4">
        <f>IF(AND(H495&lt;&gt;"",I495&lt;&gt;""),(I495-H495)*24,"")</f>
        <v/>
      </c>
      <c r="M495">
        <f>IF(C495&lt;&gt;"",C495,M494)</f>
        <v/>
      </c>
      <c r="N495">
        <f>IF(D495&lt;&gt;"",D495,N494)</f>
        <v/>
      </c>
      <c r="O495">
        <f>M495&amp;": "&amp;N495</f>
        <v/>
      </c>
      <c r="P495">
        <f>IF(O495="","",IF(COUNTIF($O$1:O494,O495)=0,MAX($P$1:P494)+1,""))</f>
        <v/>
      </c>
      <c r="Q495">
        <f>IF(A495="","",COUNTIF($A$2:A495,A495))</f>
        <v/>
      </c>
      <c r="R495">
        <f>IF(A495="","",MAX($R$1:R494)+1)</f>
        <v/>
      </c>
    </row>
    <row r="496">
      <c r="A496" s="2" t="n"/>
      <c r="H496" s="3" t="n"/>
      <c r="I496" s="3" t="n"/>
      <c r="J496" s="4">
        <f>IF(AND(H496&lt;&gt;"",I496&lt;&gt;""),(I496-H496)*24,"")</f>
        <v/>
      </c>
      <c r="M496">
        <f>IF(C496&lt;&gt;"",C496,M495)</f>
        <v/>
      </c>
      <c r="N496">
        <f>IF(D496&lt;&gt;"",D496,N495)</f>
        <v/>
      </c>
      <c r="O496">
        <f>M496&amp;": "&amp;N496</f>
        <v/>
      </c>
      <c r="P496">
        <f>IF(O496="","",IF(COUNTIF($O$1:O495,O496)=0,MAX($P$1:P495)+1,""))</f>
        <v/>
      </c>
      <c r="Q496">
        <f>IF(A496="","",COUNTIF($A$2:A496,A496))</f>
        <v/>
      </c>
      <c r="R496">
        <f>IF(A496="","",MAX($R$1:R495)+1)</f>
        <v/>
      </c>
    </row>
    <row r="497">
      <c r="A497" s="2" t="n"/>
      <c r="H497" s="3" t="n"/>
      <c r="I497" s="3" t="n"/>
      <c r="J497" s="4">
        <f>IF(AND(H497&lt;&gt;"",I497&lt;&gt;""),(I497-H497)*24,"")</f>
        <v/>
      </c>
      <c r="M497">
        <f>IF(C497&lt;&gt;"",C497,M496)</f>
        <v/>
      </c>
      <c r="N497">
        <f>IF(D497&lt;&gt;"",D497,N496)</f>
        <v/>
      </c>
      <c r="O497">
        <f>M497&amp;": "&amp;N497</f>
        <v/>
      </c>
      <c r="P497">
        <f>IF(O497="","",IF(COUNTIF($O$1:O496,O497)=0,MAX($P$1:P496)+1,""))</f>
        <v/>
      </c>
      <c r="Q497">
        <f>IF(A497="","",COUNTIF($A$2:A497,A497))</f>
        <v/>
      </c>
      <c r="R497">
        <f>IF(A497="","",MAX($R$1:R496)+1)</f>
        <v/>
      </c>
    </row>
    <row r="498">
      <c r="A498" s="2" t="n"/>
      <c r="H498" s="3" t="n"/>
      <c r="I498" s="3" t="n"/>
      <c r="J498" s="4">
        <f>IF(AND(H498&lt;&gt;"",I498&lt;&gt;""),(I498-H498)*24,"")</f>
        <v/>
      </c>
      <c r="M498">
        <f>IF(C498&lt;&gt;"",C498,M497)</f>
        <v/>
      </c>
      <c r="N498">
        <f>IF(D498&lt;&gt;"",D498,N497)</f>
        <v/>
      </c>
      <c r="O498">
        <f>M498&amp;": "&amp;N498</f>
        <v/>
      </c>
      <c r="P498">
        <f>IF(O498="","",IF(COUNTIF($O$1:O497,O498)=0,MAX($P$1:P497)+1,""))</f>
        <v/>
      </c>
      <c r="Q498">
        <f>IF(A498="","",COUNTIF($A$2:A498,A498))</f>
        <v/>
      </c>
      <c r="R498">
        <f>IF(A498="","",MAX($R$1:R497)+1)</f>
        <v/>
      </c>
    </row>
    <row r="499">
      <c r="A499" s="2" t="n"/>
      <c r="H499" s="3" t="n"/>
      <c r="I499" s="3" t="n"/>
      <c r="J499" s="4">
        <f>IF(AND(H499&lt;&gt;"",I499&lt;&gt;""),(I499-H499)*24,"")</f>
        <v/>
      </c>
      <c r="M499">
        <f>IF(C499&lt;&gt;"",C499,M498)</f>
        <v/>
      </c>
      <c r="N499">
        <f>IF(D499&lt;&gt;"",D499,N498)</f>
        <v/>
      </c>
      <c r="O499">
        <f>M499&amp;": "&amp;N499</f>
        <v/>
      </c>
      <c r="P499">
        <f>IF(O499="","",IF(COUNTIF($O$1:O498,O499)=0,MAX($P$1:P498)+1,""))</f>
        <v/>
      </c>
      <c r="Q499">
        <f>IF(A499="","",COUNTIF($A$2:A499,A499))</f>
        <v/>
      </c>
      <c r="R499">
        <f>IF(A499="","",MAX($R$1:R498)+1)</f>
        <v/>
      </c>
    </row>
    <row r="500">
      <c r="A500" s="2" t="n"/>
      <c r="H500" s="3" t="n"/>
      <c r="I500" s="3" t="n"/>
      <c r="J500" s="4">
        <f>IF(AND(H500&lt;&gt;"",I500&lt;&gt;""),(I500-H500)*24,"")</f>
        <v/>
      </c>
      <c r="M500">
        <f>IF(C500&lt;&gt;"",C500,M499)</f>
        <v/>
      </c>
      <c r="N500">
        <f>IF(D500&lt;&gt;"",D500,N499)</f>
        <v/>
      </c>
      <c r="O500">
        <f>M500&amp;": "&amp;N500</f>
        <v/>
      </c>
      <c r="P500">
        <f>IF(O500="","",IF(COUNTIF($O$1:O499,O500)=0,MAX($P$1:P499)+1,""))</f>
        <v/>
      </c>
      <c r="Q500">
        <f>IF(A500="","",COUNTIF($A$2:A500,A500))</f>
        <v/>
      </c>
      <c r="R500">
        <f>IF(A500="","",MAX($R$1:R499)+1)</f>
        <v/>
      </c>
    </row>
    <row r="501">
      <c r="A501" s="2" t="n"/>
      <c r="H501" s="3" t="n"/>
      <c r="I501" s="3" t="n"/>
      <c r="J501" s="4">
        <f>IF(AND(H501&lt;&gt;"",I501&lt;&gt;""),(I501-H501)*24,"")</f>
        <v/>
      </c>
      <c r="M501">
        <f>IF(C501&lt;&gt;"",C501,M500)</f>
        <v/>
      </c>
      <c r="N501">
        <f>IF(D501&lt;&gt;"",D501,N500)</f>
        <v/>
      </c>
      <c r="O501">
        <f>M501&amp;": "&amp;N501</f>
        <v/>
      </c>
      <c r="P501">
        <f>IF(O501="","",IF(COUNTIF($O$1:O500,O501)=0,MAX($P$1:P500)+1,""))</f>
        <v/>
      </c>
      <c r="Q501">
        <f>IF(A501="","",COUNTIF($A$2:A501,A501))</f>
        <v/>
      </c>
      <c r="R501">
        <f>IF(A501="","",MAX($R$1:R500)+1)</f>
        <v/>
      </c>
    </row>
  </sheetData>
  <autoFilter ref="A1:L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4" customWidth="1" min="4" max="4"/>
    <col width="15" customWidth="1" min="5" max="5"/>
  </cols>
  <sheetData>
    <row r="1">
      <c r="A1" s="1" t="inlineStr">
        <is>
          <t>Code</t>
        </is>
      </c>
      <c r="B1" s="1" t="inlineStr">
        <is>
          <t>Project 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Created Date</t>
        </is>
      </c>
    </row>
    <row r="2">
      <c r="A2" t="inlineStr">
        <is>
          <t>PRJ-1</t>
        </is>
      </c>
      <c r="B2" s="5" t="inlineStr">
        <is>
          <t>AI-AutoTest</t>
        </is>
      </c>
      <c r="C2" t="inlineStr">
        <is>
          <t>Use AI to running autotesting</t>
        </is>
      </c>
      <c r="D2" s="2" t="inlineStr">
        <is>
          <t>Archived</t>
        </is>
      </c>
      <c r="E2" s="2" t="n">
        <v>46230</v>
      </c>
    </row>
    <row r="3">
      <c r="A3" t="inlineStr">
        <is>
          <t>PRJ-2</t>
        </is>
      </c>
      <c r="B3" t="inlineStr">
        <is>
          <t>Test</t>
        </is>
      </c>
      <c r="C3" t="inlineStr">
        <is>
          <t>Testing gsheets sync</t>
        </is>
      </c>
      <c r="D3" s="2" t="inlineStr">
        <is>
          <t>Archived</t>
        </is>
      </c>
      <c r="E3" s="2" t="n">
        <v>46230</v>
      </c>
    </row>
    <row r="4">
      <c r="A4" t="inlineStr">
        <is>
          <t>PRJ-3</t>
        </is>
      </c>
      <c r="B4" t="inlineStr">
        <is>
          <t>web fix</t>
        </is>
      </c>
      <c r="D4" s="2" t="inlineStr">
        <is>
          <t>Archived</t>
        </is>
      </c>
      <c r="E4" s="2" t="n">
        <v>46231</v>
      </c>
    </row>
    <row r="5">
      <c r="A5" t="inlineStr">
        <is>
          <t>PRJ-4</t>
        </is>
      </c>
      <c r="B5" t="inlineStr">
        <is>
          <t>AI-Airtest</t>
        </is>
      </c>
      <c r="C5" t="inlineStr">
        <is>
          <t>Tạo automation test bằng ai với việc chỉ cần viết file .txt hoặc .md</t>
        </is>
      </c>
      <c r="D5" s="2" t="inlineStr">
        <is>
          <t>Archived</t>
        </is>
      </c>
      <c r="E5" s="2" t="n">
        <v>46232</v>
      </c>
    </row>
    <row r="6">
      <c r="A6" t="inlineStr">
        <is>
          <t>PRJ-5</t>
        </is>
      </c>
      <c r="B6" t="inlineStr">
        <is>
          <t>Comic web</t>
        </is>
      </c>
      <c r="C6" t="inlineStr">
        <is>
          <t>Comic web for ads</t>
        </is>
      </c>
      <c r="D6" s="2" t="inlineStr">
        <is>
          <t>Active</t>
        </is>
      </c>
      <c r="E6" s="2" t="n">
        <v>46245</v>
      </c>
    </row>
    <row r="7">
      <c r="A7" t="inlineStr">
        <is>
          <t>PRJ-6</t>
        </is>
      </c>
      <c r="B7" t="inlineStr">
        <is>
          <t>AI-test</t>
        </is>
      </c>
      <c r="C7" t="inlineStr">
        <is>
          <t>AI auto test by base airtest</t>
        </is>
      </c>
      <c r="D7" s="2" t="inlineStr">
        <is>
          <t>Active</t>
        </is>
      </c>
      <c r="E7" s="2" t="n">
        <v>46245</v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5" customWidth="1" min="4" max="4"/>
    <col width="16" customWidth="1" min="5" max="5"/>
    <col width="14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Code</t>
        </is>
      </c>
      <c r="B1" s="1" t="inlineStr">
        <is>
          <t>Father Task</t>
        </is>
      </c>
      <c r="C1" s="1" t="inlineStr">
        <is>
          <t>Project</t>
        </is>
      </c>
      <c r="D1" s="1" t="inlineStr">
        <is>
          <t>Date</t>
        </is>
      </c>
      <c r="E1" s="1" t="inlineStr">
        <is>
          <t>Deadline (days)</t>
        </is>
      </c>
      <c r="F1" s="1" t="inlineStr">
        <is>
          <t>Deadline (h)</t>
        </is>
      </c>
      <c r="G1" s="1" t="inlineStr">
        <is>
          <t>Status</t>
        </is>
      </c>
      <c r="H1" s="1" t="inlineStr">
        <is>
          <t>Completed Date</t>
        </is>
      </c>
      <c r="I1" s="1" t="inlineStr">
        <is>
          <t>Notes</t>
        </is>
      </c>
    </row>
    <row r="2">
      <c r="A2" t="inlineStr">
        <is>
          <t>PRJ-1-KPI-1</t>
        </is>
      </c>
      <c r="B2" s="5" t="inlineStr">
        <is>
          <t>Create MCP tool</t>
        </is>
      </c>
      <c r="C2" t="inlineStr">
        <is>
          <t>AI-AutoTest</t>
        </is>
      </c>
      <c r="D2" s="2" t="n">
        <v>46230</v>
      </c>
      <c r="E2" t="n">
        <v>7</v>
      </c>
      <c r="F2" s="6">
        <f>IF(E2&lt;&gt;"",E2*7.5,"")</f>
        <v/>
      </c>
      <c r="G2" t="inlineStr">
        <is>
          <t>Done</t>
        </is>
      </c>
      <c r="H2" s="2" t="n">
        <v>46233</v>
      </c>
    </row>
    <row r="3">
      <c r="A3" t="inlineStr">
        <is>
          <t>PRJ-2-KPI-1</t>
        </is>
      </c>
      <c r="B3" t="inlineStr">
        <is>
          <t>Test Feature</t>
        </is>
      </c>
      <c r="C3" t="inlineStr">
        <is>
          <t>Test</t>
        </is>
      </c>
      <c r="D3" s="2" t="n">
        <v>46230</v>
      </c>
      <c r="E3" t="n">
        <v>3</v>
      </c>
      <c r="F3" s="6">
        <f>IF(E3&lt;&gt;"",E3*7.5,"")</f>
        <v/>
      </c>
      <c r="G3" t="inlineStr">
        <is>
          <t>Done</t>
        </is>
      </c>
      <c r="H3" s="2" t="n">
        <v>46233</v>
      </c>
    </row>
    <row r="4">
      <c r="A4" t="inlineStr">
        <is>
          <t>PRJ-3-KPI-1</t>
        </is>
      </c>
      <c r="B4" t="inlineStr">
        <is>
          <t>Fix the error api not loadding</t>
        </is>
      </c>
      <c r="C4" t="inlineStr">
        <is>
          <t>web fix</t>
        </is>
      </c>
      <c r="D4" s="2" t="n">
        <v>46231</v>
      </c>
      <c r="E4" t="n">
        <v>2</v>
      </c>
      <c r="F4" s="6">
        <f>IF(E4&lt;&gt;"",E4*7.5,"")</f>
        <v/>
      </c>
      <c r="G4" t="inlineStr">
        <is>
          <t>Done</t>
        </is>
      </c>
      <c r="H4" s="2" t="n">
        <v>46233</v>
      </c>
    </row>
    <row r="5">
      <c r="A5" t="inlineStr">
        <is>
          <t>PRJ-4-KPI-1</t>
        </is>
      </c>
      <c r="B5" t="inlineStr">
        <is>
          <t>MCP-tool</t>
        </is>
      </c>
      <c r="C5" t="inlineStr">
        <is>
          <t>AI-Airtest</t>
        </is>
      </c>
      <c r="D5" s="2" t="n">
        <v>46232</v>
      </c>
      <c r="E5" t="n">
        <v>3</v>
      </c>
      <c r="F5" s="6">
        <f>IF(E5&lt;&gt;"",E5*7.5,"")</f>
        <v/>
      </c>
      <c r="G5" t="inlineStr">
        <is>
          <t>Done</t>
        </is>
      </c>
      <c r="H5" s="2" t="n">
        <v>46233</v>
      </c>
    </row>
    <row r="6">
      <c r="A6" t="inlineStr">
        <is>
          <t>PRJ-3-KPI-2</t>
        </is>
      </c>
      <c r="B6" t="inlineStr">
        <is>
          <t>Fix the project web running correct</t>
        </is>
      </c>
      <c r="C6" t="inlineStr">
        <is>
          <t>web fix</t>
        </is>
      </c>
      <c r="D6" s="2" t="n">
        <v>46232</v>
      </c>
      <c r="E6" t="n">
        <v>2</v>
      </c>
      <c r="F6" s="6">
        <f>IF(E6&lt;&gt;"",E6*7.5,"")</f>
        <v/>
      </c>
      <c r="G6" t="inlineStr">
        <is>
          <t>Done</t>
        </is>
      </c>
      <c r="H6" s="2" t="n">
        <v>46245</v>
      </c>
    </row>
    <row r="7">
      <c r="A7" t="inlineStr">
        <is>
          <t>PRJ-1-KPI-2</t>
        </is>
      </c>
      <c r="B7" t="inlineStr">
        <is>
          <t>Prompt AI</t>
        </is>
      </c>
      <c r="C7" t="inlineStr">
        <is>
          <t>AI-AutoTest</t>
        </is>
      </c>
      <c r="D7" s="2" t="n">
        <v>46233</v>
      </c>
      <c r="E7" t="n">
        <v>4</v>
      </c>
      <c r="F7" s="6">
        <f>IF(E7&lt;&gt;"",E7*7.5,"")</f>
        <v/>
      </c>
      <c r="G7" t="inlineStr">
        <is>
          <t>Done</t>
        </is>
      </c>
      <c r="H7" s="2" t="n">
        <v>46245</v>
      </c>
    </row>
    <row r="8">
      <c r="A8" t="inlineStr">
        <is>
          <t>PRJ-3-KPI-3</t>
        </is>
      </c>
      <c r="B8" t="inlineStr">
        <is>
          <t>Convert file and folder to NextJS</t>
        </is>
      </c>
      <c r="C8" t="inlineStr">
        <is>
          <t>web fix</t>
        </is>
      </c>
      <c r="D8" s="2" t="n">
        <v>46238</v>
      </c>
      <c r="E8" t="n">
        <v>3</v>
      </c>
      <c r="F8" s="6">
        <f>IF(E8&lt;&gt;"",E8*7.5,"")</f>
        <v/>
      </c>
      <c r="G8" t="inlineStr">
        <is>
          <t>Done</t>
        </is>
      </c>
      <c r="H8" s="2" t="n">
        <v>46239</v>
      </c>
    </row>
    <row r="9">
      <c r="A9" t="inlineStr">
        <is>
          <t>PRJ-5-KPI-1</t>
        </is>
      </c>
      <c r="B9" t="inlineStr">
        <is>
          <t>Push to production with function CRUD for chapter, author, comic, category, login oauth</t>
        </is>
      </c>
      <c r="C9" t="inlineStr">
        <is>
          <t>Comic web</t>
        </is>
      </c>
      <c r="D9" s="2" t="n">
        <v>46245</v>
      </c>
      <c r="E9" t="n">
        <v>2</v>
      </c>
      <c r="F9" s="6">
        <f>IF(E9&lt;&gt;"",E9*7.5,"")</f>
        <v/>
      </c>
      <c r="G9" t="inlineStr">
        <is>
          <t>Done</t>
        </is>
      </c>
      <c r="H9" s="2" t="n">
        <v>46246</v>
      </c>
    </row>
    <row r="10">
      <c r="A10" t="inlineStr">
        <is>
          <t>PRJ-6-KPI-1</t>
        </is>
      </c>
      <c r="B10" t="inlineStr">
        <is>
          <t>MCP base finish</t>
        </is>
      </c>
      <c r="C10" t="inlineStr">
        <is>
          <t>AI-test</t>
        </is>
      </c>
      <c r="D10" s="2" t="n">
        <v>46245</v>
      </c>
      <c r="E10" t="n">
        <v>3</v>
      </c>
      <c r="F10" s="6">
        <f>IF(E10&lt;&gt;"",E10*7.5,"")</f>
        <v/>
      </c>
      <c r="G10" t="inlineStr">
        <is>
          <t>In Progress</t>
        </is>
      </c>
      <c r="H10" s="2" t="n"/>
    </row>
    <row r="11">
      <c r="A11" t="inlineStr">
        <is>
          <t>PRJ-5-KPI-2</t>
        </is>
      </c>
      <c r="B11" t="inlineStr">
        <is>
          <t>Admin dashboard update</t>
        </is>
      </c>
      <c r="C11" t="inlineStr">
        <is>
          <t>Comic web</t>
        </is>
      </c>
      <c r="D11" s="2" t="n">
        <v>46246</v>
      </c>
      <c r="E11" t="n">
        <v>3</v>
      </c>
      <c r="F11" s="6">
        <f>IF(E11&lt;&gt;"",E11*7.5,"")</f>
        <v/>
      </c>
      <c r="G11" t="inlineStr">
        <is>
          <t>In Progress</t>
        </is>
      </c>
      <c r="H11" s="2" t="n"/>
    </row>
    <row r="12">
      <c r="D12" s="2" t="n"/>
      <c r="F12" s="6">
        <f>IF(E12&lt;&gt;"",E12*7.5,"")</f>
        <v/>
      </c>
      <c r="H12" s="2" t="n"/>
    </row>
    <row r="13">
      <c r="D13" s="2" t="n"/>
      <c r="F13" s="6">
        <f>IF(E13&lt;&gt;"",E13*7.5,"")</f>
        <v/>
      </c>
      <c r="H13" s="2" t="n"/>
    </row>
    <row r="14">
      <c r="D14" s="2" t="n"/>
      <c r="F14" s="6">
        <f>IF(E14&lt;&gt;"",E14*7.5,"")</f>
        <v/>
      </c>
      <c r="H14" s="2" t="n"/>
    </row>
    <row r="15">
      <c r="D15" s="2" t="n"/>
      <c r="F15" s="6">
        <f>IF(E15&lt;&gt;"",E15*7.5,"")</f>
        <v/>
      </c>
      <c r="H15" s="2" t="n"/>
    </row>
    <row r="16">
      <c r="D16" s="2" t="n"/>
      <c r="F16" s="6">
        <f>IF(E16&lt;&gt;"",E16*7.5,"")</f>
        <v/>
      </c>
      <c r="H16" s="2" t="n"/>
    </row>
    <row r="17">
      <c r="D17" s="2" t="n"/>
      <c r="F17" s="6">
        <f>IF(E17&lt;&gt;"",E17*7.5,"")</f>
        <v/>
      </c>
      <c r="H17" s="2" t="n"/>
    </row>
    <row r="18">
      <c r="D18" s="2" t="n"/>
      <c r="F18" s="6">
        <f>IF(E18&lt;&gt;"",E18*7.5,"")</f>
        <v/>
      </c>
      <c r="H18" s="2" t="n"/>
    </row>
    <row r="19">
      <c r="D19" s="2" t="n"/>
      <c r="F19" s="6">
        <f>IF(E19&lt;&gt;"",E19*7.5,"")</f>
        <v/>
      </c>
      <c r="H19" s="2" t="n"/>
    </row>
    <row r="20">
      <c r="D20" s="2" t="n"/>
      <c r="F20" s="6">
        <f>IF(E20&lt;&gt;"",E20*7.5,"")</f>
        <v/>
      </c>
      <c r="H20" s="2" t="n"/>
    </row>
    <row r="21">
      <c r="D21" s="2" t="n"/>
      <c r="F21" s="6">
        <f>IF(E21&lt;&gt;"",E21*7.5,"")</f>
        <v/>
      </c>
      <c r="H21" s="2" t="n"/>
    </row>
    <row r="22">
      <c r="D22" s="2" t="n"/>
      <c r="F22" s="6">
        <f>IF(E22&lt;&gt;"",E22*7.5,"")</f>
        <v/>
      </c>
      <c r="H22" s="2" t="n"/>
    </row>
    <row r="23">
      <c r="D23" s="2" t="n"/>
      <c r="F23" s="6">
        <f>IF(E23&lt;&gt;"",E23*7.5,"")</f>
        <v/>
      </c>
      <c r="H23" s="2" t="n"/>
    </row>
    <row r="24">
      <c r="D24" s="2" t="n"/>
      <c r="F24" s="6">
        <f>IF(E24&lt;&gt;"",E24*7.5,"")</f>
        <v/>
      </c>
      <c r="H24" s="2" t="n"/>
    </row>
    <row r="25">
      <c r="D25" s="2" t="n"/>
      <c r="F25" s="6">
        <f>IF(E25&lt;&gt;"",E25*7.5,"")</f>
        <v/>
      </c>
      <c r="H25" s="2" t="n"/>
    </row>
    <row r="26">
      <c r="D26" s="2" t="n"/>
      <c r="F26" s="6">
        <f>IF(E26&lt;&gt;"",E26*7.5,"")</f>
        <v/>
      </c>
      <c r="H26" s="2" t="n"/>
    </row>
    <row r="27">
      <c r="D27" s="2" t="n"/>
      <c r="F27" s="6">
        <f>IF(E27&lt;&gt;"",E27*7.5,"")</f>
        <v/>
      </c>
      <c r="H27" s="2" t="n"/>
    </row>
    <row r="28">
      <c r="D28" s="2" t="n"/>
      <c r="F28" s="6">
        <f>IF(E28&lt;&gt;"",E28*7.5,"")</f>
        <v/>
      </c>
      <c r="H28" s="2" t="n"/>
    </row>
    <row r="29">
      <c r="D29" s="2" t="n"/>
      <c r="F29" s="6">
        <f>IF(E29&lt;&gt;"",E29*7.5,"")</f>
        <v/>
      </c>
      <c r="H29" s="2" t="n"/>
    </row>
    <row r="30">
      <c r="D30" s="2" t="n"/>
      <c r="F30" s="6">
        <f>IF(E30&lt;&gt;"",E30*7.5,"")</f>
        <v/>
      </c>
      <c r="H30" s="2" t="n"/>
    </row>
    <row r="31">
      <c r="D31" s="2" t="n"/>
      <c r="F31" s="6">
        <f>IF(E31&lt;&gt;"",E31*7.5,"")</f>
        <v/>
      </c>
      <c r="H31" s="2" t="n"/>
    </row>
    <row r="32">
      <c r="D32" s="2" t="n"/>
      <c r="F32" s="6">
        <f>IF(E32&lt;&gt;"",E32*7.5,"")</f>
        <v/>
      </c>
      <c r="H32" s="2" t="n"/>
    </row>
    <row r="33">
      <c r="D33" s="2" t="n"/>
      <c r="F33" s="6">
        <f>IF(E33&lt;&gt;"",E33*7.5,"")</f>
        <v/>
      </c>
      <c r="H33" s="2" t="n"/>
    </row>
    <row r="34">
      <c r="D34" s="2" t="n"/>
      <c r="F34" s="6">
        <f>IF(E34&lt;&gt;"",E34*7.5,"")</f>
        <v/>
      </c>
      <c r="H34" s="2" t="n"/>
    </row>
    <row r="35">
      <c r="D35" s="2" t="n"/>
      <c r="F35" s="6">
        <f>IF(E35&lt;&gt;"",E35*7.5,"")</f>
        <v/>
      </c>
      <c r="H35" s="2" t="n"/>
    </row>
    <row r="36">
      <c r="D36" s="2" t="n"/>
      <c r="F36" s="6">
        <f>IF(E36&lt;&gt;"",E36*7.5,"")</f>
        <v/>
      </c>
      <c r="H36" s="2" t="n"/>
    </row>
    <row r="37">
      <c r="D37" s="2" t="n"/>
      <c r="F37" s="6">
        <f>IF(E37&lt;&gt;"",E37*7.5,"")</f>
        <v/>
      </c>
      <c r="H37" s="2" t="n"/>
    </row>
    <row r="38">
      <c r="D38" s="2" t="n"/>
      <c r="F38" s="6">
        <f>IF(E38&lt;&gt;"",E38*7.5,"")</f>
        <v/>
      </c>
      <c r="H38" s="2" t="n"/>
    </row>
    <row r="39">
      <c r="D39" s="2" t="n"/>
      <c r="F39" s="6">
        <f>IF(E39&lt;&gt;"",E39*7.5,"")</f>
        <v/>
      </c>
      <c r="H39" s="2" t="n"/>
    </row>
    <row r="40">
      <c r="D40" s="2" t="n"/>
      <c r="F40" s="6">
        <f>IF(E40&lt;&gt;"",E40*7.5,"")</f>
        <v/>
      </c>
      <c r="H40" s="2" t="n"/>
    </row>
    <row r="41">
      <c r="D41" s="2" t="n"/>
      <c r="F41" s="6">
        <f>IF(E41&lt;&gt;"",E41*7.5,"")</f>
        <v/>
      </c>
      <c r="H41" s="2" t="n"/>
    </row>
    <row r="42">
      <c r="D42" s="2" t="n"/>
      <c r="F42" s="6">
        <f>IF(E42&lt;&gt;"",E42*7.5,"")</f>
        <v/>
      </c>
      <c r="H42" s="2" t="n"/>
    </row>
    <row r="43">
      <c r="D43" s="2" t="n"/>
      <c r="F43" s="6">
        <f>IF(E43&lt;&gt;"",E43*7.5,"")</f>
        <v/>
      </c>
      <c r="H43" s="2" t="n"/>
    </row>
    <row r="44">
      <c r="D44" s="2" t="n"/>
      <c r="F44" s="6">
        <f>IF(E44&lt;&gt;"",E44*7.5,"")</f>
        <v/>
      </c>
      <c r="H44" s="2" t="n"/>
    </row>
    <row r="45">
      <c r="D45" s="2" t="n"/>
      <c r="F45" s="6">
        <f>IF(E45&lt;&gt;"",E45*7.5,"")</f>
        <v/>
      </c>
      <c r="H45" s="2" t="n"/>
    </row>
    <row r="46">
      <c r="D46" s="2" t="n"/>
      <c r="F46" s="6">
        <f>IF(E46&lt;&gt;"",E46*7.5,"")</f>
        <v/>
      </c>
      <c r="H46" s="2" t="n"/>
    </row>
    <row r="47">
      <c r="D47" s="2" t="n"/>
      <c r="F47" s="6">
        <f>IF(E47&lt;&gt;"",E47*7.5,"")</f>
        <v/>
      </c>
      <c r="H47" s="2" t="n"/>
    </row>
    <row r="48">
      <c r="D48" s="2" t="n"/>
      <c r="F48" s="6">
        <f>IF(E48&lt;&gt;"",E48*7.5,"")</f>
        <v/>
      </c>
      <c r="H48" s="2" t="n"/>
    </row>
    <row r="49">
      <c r="D49" s="2" t="n"/>
      <c r="F49" s="6">
        <f>IF(E49&lt;&gt;"",E49*7.5,"")</f>
        <v/>
      </c>
      <c r="H49" s="2" t="n"/>
    </row>
    <row r="50">
      <c r="D50" s="2" t="n"/>
      <c r="F50" s="6">
        <f>IF(E50&lt;&gt;"",E50*7.5,"")</f>
        <v/>
      </c>
      <c r="H50" s="2" t="n"/>
    </row>
    <row r="51">
      <c r="D51" s="2" t="n"/>
      <c r="F51" s="6">
        <f>IF(E51&lt;&gt;"",E51*7.5,"")</f>
        <v/>
      </c>
      <c r="H51" s="2" t="n"/>
    </row>
    <row r="52">
      <c r="D52" s="2" t="n"/>
      <c r="F52" s="6">
        <f>IF(E52&lt;&gt;"",E52*7.5,"")</f>
        <v/>
      </c>
      <c r="H52" s="2" t="n"/>
    </row>
    <row r="53">
      <c r="D53" s="2" t="n"/>
      <c r="F53" s="6">
        <f>IF(E53&lt;&gt;"",E53*7.5,"")</f>
        <v/>
      </c>
      <c r="H53" s="2" t="n"/>
    </row>
    <row r="54">
      <c r="D54" s="2" t="n"/>
      <c r="F54" s="6">
        <f>IF(E54&lt;&gt;"",E54*7.5,"")</f>
        <v/>
      </c>
      <c r="H54" s="2" t="n"/>
    </row>
    <row r="55">
      <c r="D55" s="2" t="n"/>
      <c r="F55" s="6">
        <f>IF(E55&lt;&gt;"",E55*7.5,"")</f>
        <v/>
      </c>
      <c r="H55" s="2" t="n"/>
    </row>
    <row r="56">
      <c r="D56" s="2" t="n"/>
      <c r="F56" s="6">
        <f>IF(E56&lt;&gt;"",E56*7.5,"")</f>
        <v/>
      </c>
      <c r="H56" s="2" t="n"/>
    </row>
    <row r="57">
      <c r="D57" s="2" t="n"/>
      <c r="F57" s="6">
        <f>IF(E57&lt;&gt;"",E57*7.5,"")</f>
        <v/>
      </c>
      <c r="H57" s="2" t="n"/>
    </row>
    <row r="58">
      <c r="D58" s="2" t="n"/>
      <c r="F58" s="6">
        <f>IF(E58&lt;&gt;"",E58*7.5,"")</f>
        <v/>
      </c>
      <c r="H58" s="2" t="n"/>
    </row>
    <row r="59">
      <c r="D59" s="2" t="n"/>
      <c r="F59" s="6">
        <f>IF(E59&lt;&gt;"",E59*7.5,"")</f>
        <v/>
      </c>
      <c r="H59" s="2" t="n"/>
    </row>
    <row r="60">
      <c r="D60" s="2" t="n"/>
      <c r="F60" s="6">
        <f>IF(E60&lt;&gt;"",E60*7.5,"")</f>
        <v/>
      </c>
      <c r="H60" s="2" t="n"/>
    </row>
    <row r="61">
      <c r="D61" s="2" t="n"/>
      <c r="F61" s="6">
        <f>IF(E61&lt;&gt;"",E61*7.5,"")</f>
        <v/>
      </c>
      <c r="H61" s="2" t="n"/>
    </row>
    <row r="62">
      <c r="D62" s="2" t="n"/>
      <c r="F62" s="6">
        <f>IF(E62&lt;&gt;"",E62*7.5,"")</f>
        <v/>
      </c>
      <c r="H62" s="2" t="n"/>
    </row>
    <row r="63">
      <c r="D63" s="2" t="n"/>
      <c r="F63" s="6">
        <f>IF(E63&lt;&gt;"",E63*7.5,"")</f>
        <v/>
      </c>
      <c r="H63" s="2" t="n"/>
    </row>
    <row r="64">
      <c r="D64" s="2" t="n"/>
      <c r="F64" s="6">
        <f>IF(E64&lt;&gt;"",E64*7.5,"")</f>
        <v/>
      </c>
      <c r="H64" s="2" t="n"/>
    </row>
    <row r="65">
      <c r="D65" s="2" t="n"/>
      <c r="F65" s="6">
        <f>IF(E65&lt;&gt;"",E65*7.5,"")</f>
        <v/>
      </c>
      <c r="H65" s="2" t="n"/>
    </row>
    <row r="66">
      <c r="D66" s="2" t="n"/>
      <c r="F66" s="6">
        <f>IF(E66&lt;&gt;"",E66*7.5,"")</f>
        <v/>
      </c>
      <c r="H66" s="2" t="n"/>
    </row>
    <row r="67">
      <c r="D67" s="2" t="n"/>
      <c r="F67" s="6">
        <f>IF(E67&lt;&gt;"",E67*7.5,"")</f>
        <v/>
      </c>
      <c r="H67" s="2" t="n"/>
    </row>
    <row r="68">
      <c r="D68" s="2" t="n"/>
      <c r="F68" s="6">
        <f>IF(E68&lt;&gt;"",E68*7.5,"")</f>
        <v/>
      </c>
      <c r="H68" s="2" t="n"/>
    </row>
    <row r="69">
      <c r="D69" s="2" t="n"/>
      <c r="F69" s="6">
        <f>IF(E69&lt;&gt;"",E69*7.5,"")</f>
        <v/>
      </c>
      <c r="H69" s="2" t="n"/>
    </row>
    <row r="70">
      <c r="D70" s="2" t="n"/>
      <c r="F70" s="6">
        <f>IF(E70&lt;&gt;"",E70*7.5,"")</f>
        <v/>
      </c>
      <c r="H70" s="2" t="n"/>
    </row>
    <row r="71">
      <c r="D71" s="2" t="n"/>
      <c r="F71" s="6">
        <f>IF(E71&lt;&gt;"",E71*7.5,"")</f>
        <v/>
      </c>
      <c r="H71" s="2" t="n"/>
    </row>
    <row r="72">
      <c r="D72" s="2" t="n"/>
      <c r="F72" s="6">
        <f>IF(E72&lt;&gt;"",E72*7.5,"")</f>
        <v/>
      </c>
      <c r="H72" s="2" t="n"/>
    </row>
    <row r="73">
      <c r="D73" s="2" t="n"/>
      <c r="F73" s="6">
        <f>IF(E73&lt;&gt;"",E73*7.5,"")</f>
        <v/>
      </c>
      <c r="H73" s="2" t="n"/>
    </row>
    <row r="74">
      <c r="D74" s="2" t="n"/>
      <c r="F74" s="6">
        <f>IF(E74&lt;&gt;"",E74*7.5,"")</f>
        <v/>
      </c>
      <c r="H74" s="2" t="n"/>
    </row>
    <row r="75">
      <c r="D75" s="2" t="n"/>
      <c r="F75" s="6">
        <f>IF(E75&lt;&gt;"",E75*7.5,"")</f>
        <v/>
      </c>
      <c r="H75" s="2" t="n"/>
    </row>
    <row r="76">
      <c r="D76" s="2" t="n"/>
      <c r="F76" s="6">
        <f>IF(E76&lt;&gt;"",E76*7.5,"")</f>
        <v/>
      </c>
      <c r="H76" s="2" t="n"/>
    </row>
    <row r="77">
      <c r="D77" s="2" t="n"/>
      <c r="F77" s="6">
        <f>IF(E77&lt;&gt;"",E77*7.5,"")</f>
        <v/>
      </c>
      <c r="H77" s="2" t="n"/>
    </row>
    <row r="78">
      <c r="D78" s="2" t="n"/>
      <c r="F78" s="6">
        <f>IF(E78&lt;&gt;"",E78*7.5,"")</f>
        <v/>
      </c>
      <c r="H78" s="2" t="n"/>
    </row>
    <row r="79">
      <c r="D79" s="2" t="n"/>
      <c r="F79" s="6">
        <f>IF(E79&lt;&gt;"",E79*7.5,"")</f>
        <v/>
      </c>
      <c r="H79" s="2" t="n"/>
    </row>
    <row r="80">
      <c r="D80" s="2" t="n"/>
      <c r="F80" s="6">
        <f>IF(E80&lt;&gt;"",E80*7.5,"")</f>
        <v/>
      </c>
      <c r="H80" s="2" t="n"/>
    </row>
    <row r="81">
      <c r="D81" s="2" t="n"/>
      <c r="F81" s="6">
        <f>IF(E81&lt;&gt;"",E81*7.5,"")</f>
        <v/>
      </c>
      <c r="H81" s="2" t="n"/>
    </row>
    <row r="82">
      <c r="D82" s="2" t="n"/>
      <c r="F82" s="6">
        <f>IF(E82&lt;&gt;"",E82*7.5,"")</f>
        <v/>
      </c>
      <c r="H82" s="2" t="n"/>
    </row>
    <row r="83">
      <c r="D83" s="2" t="n"/>
      <c r="F83" s="6">
        <f>IF(E83&lt;&gt;"",E83*7.5,"")</f>
        <v/>
      </c>
      <c r="H83" s="2" t="n"/>
    </row>
    <row r="84">
      <c r="D84" s="2" t="n"/>
      <c r="F84" s="6">
        <f>IF(E84&lt;&gt;"",E84*7.5,"")</f>
        <v/>
      </c>
      <c r="H84" s="2" t="n"/>
    </row>
    <row r="85">
      <c r="D85" s="2" t="n"/>
      <c r="F85" s="6">
        <f>IF(E85&lt;&gt;"",E85*7.5,"")</f>
        <v/>
      </c>
      <c r="H85" s="2" t="n"/>
    </row>
    <row r="86">
      <c r="D86" s="2" t="n"/>
      <c r="F86" s="6">
        <f>IF(E86&lt;&gt;"",E86*7.5,"")</f>
        <v/>
      </c>
      <c r="H86" s="2" t="n"/>
    </row>
    <row r="87">
      <c r="D87" s="2" t="n"/>
      <c r="F87" s="6">
        <f>IF(E87&lt;&gt;"",E87*7.5,"")</f>
        <v/>
      </c>
      <c r="H87" s="2" t="n"/>
    </row>
    <row r="88">
      <c r="D88" s="2" t="n"/>
      <c r="F88" s="6">
        <f>IF(E88&lt;&gt;"",E88*7.5,"")</f>
        <v/>
      </c>
      <c r="H88" s="2" t="n"/>
    </row>
    <row r="89">
      <c r="D89" s="2" t="n"/>
      <c r="F89" s="6">
        <f>IF(E89&lt;&gt;"",E89*7.5,"")</f>
        <v/>
      </c>
      <c r="H89" s="2" t="n"/>
    </row>
    <row r="90">
      <c r="D90" s="2" t="n"/>
      <c r="F90" s="6">
        <f>IF(E90&lt;&gt;"",E90*7.5,"")</f>
        <v/>
      </c>
      <c r="H90" s="2" t="n"/>
    </row>
    <row r="91">
      <c r="D91" s="2" t="n"/>
      <c r="F91" s="6">
        <f>IF(E91&lt;&gt;"",E91*7.5,"")</f>
        <v/>
      </c>
      <c r="H91" s="2" t="n"/>
    </row>
    <row r="92">
      <c r="D92" s="2" t="n"/>
      <c r="F92" s="6">
        <f>IF(E92&lt;&gt;"",E92*7.5,"")</f>
        <v/>
      </c>
      <c r="H92" s="2" t="n"/>
    </row>
    <row r="93">
      <c r="D93" s="2" t="n"/>
      <c r="F93" s="6">
        <f>IF(E93&lt;&gt;"",E93*7.5,"")</f>
        <v/>
      </c>
      <c r="H93" s="2" t="n"/>
    </row>
    <row r="94">
      <c r="D94" s="2" t="n"/>
      <c r="F94" s="6">
        <f>IF(E94&lt;&gt;"",E94*7.5,"")</f>
        <v/>
      </c>
      <c r="H94" s="2" t="n"/>
    </row>
    <row r="95">
      <c r="D95" s="2" t="n"/>
      <c r="F95" s="6">
        <f>IF(E95&lt;&gt;"",E95*7.5,"")</f>
        <v/>
      </c>
      <c r="H95" s="2" t="n"/>
    </row>
    <row r="96">
      <c r="D96" s="2" t="n"/>
      <c r="F96" s="6">
        <f>IF(E96&lt;&gt;"",E96*7.5,"")</f>
        <v/>
      </c>
      <c r="H96" s="2" t="n"/>
    </row>
    <row r="97">
      <c r="D97" s="2" t="n"/>
      <c r="F97" s="6">
        <f>IF(E97&lt;&gt;"",E97*7.5,"")</f>
        <v/>
      </c>
      <c r="H97" s="2" t="n"/>
    </row>
    <row r="98">
      <c r="D98" s="2" t="n"/>
      <c r="F98" s="6">
        <f>IF(E98&lt;&gt;"",E98*7.5,"")</f>
        <v/>
      </c>
      <c r="H98" s="2" t="n"/>
    </row>
    <row r="99">
      <c r="D99" s="2" t="n"/>
      <c r="F99" s="6">
        <f>IF(E99&lt;&gt;"",E99*7.5,"")</f>
        <v/>
      </c>
      <c r="H99" s="2" t="n"/>
    </row>
    <row r="100">
      <c r="D100" s="2" t="n"/>
      <c r="F100" s="6">
        <f>IF(E100&lt;&gt;"",E100*7.5,"")</f>
        <v/>
      </c>
      <c r="H100" s="2" t="n"/>
    </row>
    <row r="101">
      <c r="D101" s="2" t="n"/>
      <c r="F101" s="6">
        <f>IF(E101&lt;&gt;"",E101*7.5,"")</f>
        <v/>
      </c>
      <c r="H101" s="2" t="n"/>
    </row>
    <row r="102">
      <c r="D102" s="2" t="n"/>
      <c r="F102" s="6">
        <f>IF(E102&lt;&gt;"",E102*7.5,"")</f>
        <v/>
      </c>
      <c r="H102" s="2" t="n"/>
    </row>
    <row r="103">
      <c r="D103" s="2" t="n"/>
      <c r="F103" s="6">
        <f>IF(E103&lt;&gt;"",E103*7.5,"")</f>
        <v/>
      </c>
      <c r="H103" s="2" t="n"/>
    </row>
    <row r="104">
      <c r="D104" s="2" t="n"/>
      <c r="F104" s="6">
        <f>IF(E104&lt;&gt;"",E104*7.5,"")</f>
        <v/>
      </c>
      <c r="H104" s="2" t="n"/>
    </row>
    <row r="105">
      <c r="D105" s="2" t="n"/>
      <c r="F105" s="6">
        <f>IF(E105&lt;&gt;"",E105*7.5,"")</f>
        <v/>
      </c>
      <c r="H105" s="2" t="n"/>
    </row>
    <row r="106">
      <c r="D106" s="2" t="n"/>
      <c r="F106" s="6">
        <f>IF(E106&lt;&gt;"",E106*7.5,"")</f>
        <v/>
      </c>
      <c r="H106" s="2" t="n"/>
    </row>
    <row r="107">
      <c r="D107" s="2" t="n"/>
      <c r="F107" s="6">
        <f>IF(E107&lt;&gt;"",E107*7.5,"")</f>
        <v/>
      </c>
      <c r="H107" s="2" t="n"/>
    </row>
    <row r="108">
      <c r="D108" s="2" t="n"/>
      <c r="F108" s="6">
        <f>IF(E108&lt;&gt;"",E108*7.5,"")</f>
        <v/>
      </c>
      <c r="H108" s="2" t="n"/>
    </row>
    <row r="109">
      <c r="D109" s="2" t="n"/>
      <c r="F109" s="6">
        <f>IF(E109&lt;&gt;"",E109*7.5,"")</f>
        <v/>
      </c>
      <c r="H109" s="2" t="n"/>
    </row>
    <row r="110">
      <c r="D110" s="2" t="n"/>
      <c r="F110" s="6">
        <f>IF(E110&lt;&gt;"",E110*7.5,"")</f>
        <v/>
      </c>
      <c r="H110" s="2" t="n"/>
    </row>
    <row r="111">
      <c r="D111" s="2" t="n"/>
      <c r="F111" s="6">
        <f>IF(E111&lt;&gt;"",E111*7.5,"")</f>
        <v/>
      </c>
      <c r="H111" s="2" t="n"/>
    </row>
    <row r="112">
      <c r="D112" s="2" t="n"/>
      <c r="F112" s="6">
        <f>IF(E112&lt;&gt;"",E112*7.5,"")</f>
        <v/>
      </c>
      <c r="H112" s="2" t="n"/>
    </row>
    <row r="113">
      <c r="D113" s="2" t="n"/>
      <c r="F113" s="6">
        <f>IF(E113&lt;&gt;"",E113*7.5,"")</f>
        <v/>
      </c>
      <c r="H113" s="2" t="n"/>
    </row>
    <row r="114">
      <c r="D114" s="2" t="n"/>
      <c r="F114" s="6">
        <f>IF(E114&lt;&gt;"",E114*7.5,"")</f>
        <v/>
      </c>
      <c r="H114" s="2" t="n"/>
    </row>
    <row r="115">
      <c r="D115" s="2" t="n"/>
      <c r="F115" s="6">
        <f>IF(E115&lt;&gt;"",E115*7.5,"")</f>
        <v/>
      </c>
      <c r="H115" s="2" t="n"/>
    </row>
    <row r="116">
      <c r="D116" s="2" t="n"/>
      <c r="F116" s="6">
        <f>IF(E116&lt;&gt;"",E116*7.5,"")</f>
        <v/>
      </c>
      <c r="H116" s="2" t="n"/>
    </row>
    <row r="117">
      <c r="D117" s="2" t="n"/>
      <c r="F117" s="6">
        <f>IF(E117&lt;&gt;"",E117*7.5,"")</f>
        <v/>
      </c>
      <c r="H117" s="2" t="n"/>
    </row>
    <row r="118">
      <c r="D118" s="2" t="n"/>
      <c r="F118" s="6">
        <f>IF(E118&lt;&gt;"",E118*7.5,"")</f>
        <v/>
      </c>
      <c r="H118" s="2" t="n"/>
    </row>
    <row r="119">
      <c r="D119" s="2" t="n"/>
      <c r="F119" s="6">
        <f>IF(E119&lt;&gt;"",E119*7.5,"")</f>
        <v/>
      </c>
      <c r="H119" s="2" t="n"/>
    </row>
    <row r="120">
      <c r="D120" s="2" t="n"/>
      <c r="F120" s="6">
        <f>IF(E120&lt;&gt;"",E120*7.5,"")</f>
        <v/>
      </c>
      <c r="H120" s="2" t="n"/>
    </row>
    <row r="121">
      <c r="D121" s="2" t="n"/>
      <c r="F121" s="6">
        <f>IF(E121&lt;&gt;"",E121*7.5,"")</f>
        <v/>
      </c>
      <c r="H121" s="2" t="n"/>
    </row>
    <row r="122">
      <c r="D122" s="2" t="n"/>
      <c r="F122" s="6">
        <f>IF(E122&lt;&gt;"",E122*7.5,"")</f>
        <v/>
      </c>
      <c r="H122" s="2" t="n"/>
    </row>
    <row r="123">
      <c r="D123" s="2" t="n"/>
      <c r="F123" s="6">
        <f>IF(E123&lt;&gt;"",E123*7.5,"")</f>
        <v/>
      </c>
      <c r="H123" s="2" t="n"/>
    </row>
    <row r="124">
      <c r="D124" s="2" t="n"/>
      <c r="F124" s="6">
        <f>IF(E124&lt;&gt;"",E124*7.5,"")</f>
        <v/>
      </c>
      <c r="H124" s="2" t="n"/>
    </row>
    <row r="125">
      <c r="D125" s="2" t="n"/>
      <c r="F125" s="6">
        <f>IF(E125&lt;&gt;"",E125*7.5,"")</f>
        <v/>
      </c>
      <c r="H125" s="2" t="n"/>
    </row>
    <row r="126">
      <c r="D126" s="2" t="n"/>
      <c r="F126" s="6">
        <f>IF(E126&lt;&gt;"",E126*7.5,"")</f>
        <v/>
      </c>
      <c r="H126" s="2" t="n"/>
    </row>
    <row r="127">
      <c r="D127" s="2" t="n"/>
      <c r="F127" s="6">
        <f>IF(E127&lt;&gt;"",E127*7.5,"")</f>
        <v/>
      </c>
      <c r="H127" s="2" t="n"/>
    </row>
    <row r="128">
      <c r="D128" s="2" t="n"/>
      <c r="F128" s="6">
        <f>IF(E128&lt;&gt;"",E128*7.5,"")</f>
        <v/>
      </c>
      <c r="H128" s="2" t="n"/>
    </row>
    <row r="129">
      <c r="D129" s="2" t="n"/>
      <c r="F129" s="6">
        <f>IF(E129&lt;&gt;"",E129*7.5,"")</f>
        <v/>
      </c>
      <c r="H129" s="2" t="n"/>
    </row>
    <row r="130">
      <c r="D130" s="2" t="n"/>
      <c r="F130" s="6">
        <f>IF(E130&lt;&gt;"",E130*7.5,"")</f>
        <v/>
      </c>
      <c r="H130" s="2" t="n"/>
    </row>
    <row r="131">
      <c r="D131" s="2" t="n"/>
      <c r="F131" s="6">
        <f>IF(E131&lt;&gt;"",E131*7.5,"")</f>
        <v/>
      </c>
      <c r="H131" s="2" t="n"/>
    </row>
    <row r="132">
      <c r="D132" s="2" t="n"/>
      <c r="F132" s="6">
        <f>IF(E132&lt;&gt;"",E132*7.5,"")</f>
        <v/>
      </c>
      <c r="H132" s="2" t="n"/>
    </row>
    <row r="133">
      <c r="D133" s="2" t="n"/>
      <c r="F133" s="6">
        <f>IF(E133&lt;&gt;"",E133*7.5,"")</f>
        <v/>
      </c>
      <c r="H133" s="2" t="n"/>
    </row>
    <row r="134">
      <c r="D134" s="2" t="n"/>
      <c r="F134" s="6">
        <f>IF(E134&lt;&gt;"",E134*7.5,"")</f>
        <v/>
      </c>
      <c r="H134" s="2" t="n"/>
    </row>
    <row r="135">
      <c r="D135" s="2" t="n"/>
      <c r="F135" s="6">
        <f>IF(E135&lt;&gt;"",E135*7.5,"")</f>
        <v/>
      </c>
      <c r="H135" s="2" t="n"/>
    </row>
    <row r="136">
      <c r="D136" s="2" t="n"/>
      <c r="F136" s="6">
        <f>IF(E136&lt;&gt;"",E136*7.5,"")</f>
        <v/>
      </c>
      <c r="H136" s="2" t="n"/>
    </row>
    <row r="137">
      <c r="D137" s="2" t="n"/>
      <c r="F137" s="6">
        <f>IF(E137&lt;&gt;"",E137*7.5,"")</f>
        <v/>
      </c>
      <c r="H137" s="2" t="n"/>
    </row>
    <row r="138">
      <c r="D138" s="2" t="n"/>
      <c r="F138" s="6">
        <f>IF(E138&lt;&gt;"",E138*7.5,"")</f>
        <v/>
      </c>
      <c r="H138" s="2" t="n"/>
    </row>
    <row r="139">
      <c r="D139" s="2" t="n"/>
      <c r="F139" s="6">
        <f>IF(E139&lt;&gt;"",E139*7.5,"")</f>
        <v/>
      </c>
      <c r="H139" s="2" t="n"/>
    </row>
    <row r="140">
      <c r="D140" s="2" t="n"/>
      <c r="F140" s="6">
        <f>IF(E140&lt;&gt;"",E140*7.5,"")</f>
        <v/>
      </c>
      <c r="H140" s="2" t="n"/>
    </row>
    <row r="141">
      <c r="D141" s="2" t="n"/>
      <c r="F141" s="6">
        <f>IF(E141&lt;&gt;"",E141*7.5,"")</f>
        <v/>
      </c>
      <c r="H141" s="2" t="n"/>
    </row>
    <row r="142">
      <c r="D142" s="2" t="n"/>
      <c r="F142" s="6">
        <f>IF(E142&lt;&gt;"",E142*7.5,"")</f>
        <v/>
      </c>
      <c r="H142" s="2" t="n"/>
    </row>
    <row r="143">
      <c r="D143" s="2" t="n"/>
      <c r="F143" s="6">
        <f>IF(E143&lt;&gt;"",E143*7.5,"")</f>
        <v/>
      </c>
      <c r="H143" s="2" t="n"/>
    </row>
    <row r="144">
      <c r="D144" s="2" t="n"/>
      <c r="F144" s="6">
        <f>IF(E144&lt;&gt;"",E144*7.5,"")</f>
        <v/>
      </c>
      <c r="H144" s="2" t="n"/>
    </row>
    <row r="145">
      <c r="D145" s="2" t="n"/>
      <c r="F145" s="6">
        <f>IF(E145&lt;&gt;"",E145*7.5,"")</f>
        <v/>
      </c>
      <c r="H145" s="2" t="n"/>
    </row>
    <row r="146">
      <c r="D146" s="2" t="n"/>
      <c r="F146" s="6">
        <f>IF(E146&lt;&gt;"",E146*7.5,"")</f>
        <v/>
      </c>
      <c r="H146" s="2" t="n"/>
    </row>
    <row r="147">
      <c r="D147" s="2" t="n"/>
      <c r="F147" s="6">
        <f>IF(E147&lt;&gt;"",E147*7.5,"")</f>
        <v/>
      </c>
      <c r="H147" s="2" t="n"/>
    </row>
    <row r="148">
      <c r="D148" s="2" t="n"/>
      <c r="F148" s="6">
        <f>IF(E148&lt;&gt;"",E148*7.5,"")</f>
        <v/>
      </c>
      <c r="H148" s="2" t="n"/>
    </row>
    <row r="149">
      <c r="D149" s="2" t="n"/>
      <c r="F149" s="6">
        <f>IF(E149&lt;&gt;"",E149*7.5,"")</f>
        <v/>
      </c>
      <c r="H149" s="2" t="n"/>
    </row>
    <row r="150">
      <c r="D150" s="2" t="n"/>
      <c r="F150" s="6">
        <f>IF(E150&lt;&gt;"",E150*7.5,"")</f>
        <v/>
      </c>
      <c r="H150" s="2" t="n"/>
    </row>
    <row r="151">
      <c r="D151" s="2" t="n"/>
      <c r="F151" s="6">
        <f>IF(E151&lt;&gt;"",E151*7.5,"")</f>
        <v/>
      </c>
      <c r="H151" s="2" t="n"/>
    </row>
    <row r="152">
      <c r="D152" s="2" t="n"/>
      <c r="F152" s="6">
        <f>IF(E152&lt;&gt;"",E152*7.5,"")</f>
        <v/>
      </c>
      <c r="H152" s="2" t="n"/>
    </row>
    <row r="153">
      <c r="D153" s="2" t="n"/>
      <c r="F153" s="6">
        <f>IF(E153&lt;&gt;"",E153*7.5,"")</f>
        <v/>
      </c>
      <c r="H153" s="2" t="n"/>
    </row>
    <row r="154">
      <c r="D154" s="2" t="n"/>
      <c r="F154" s="6">
        <f>IF(E154&lt;&gt;"",E154*7.5,"")</f>
        <v/>
      </c>
      <c r="H154" s="2" t="n"/>
    </row>
    <row r="155">
      <c r="D155" s="2" t="n"/>
      <c r="F155" s="6">
        <f>IF(E155&lt;&gt;"",E155*7.5,"")</f>
        <v/>
      </c>
      <c r="H155" s="2" t="n"/>
    </row>
    <row r="156">
      <c r="D156" s="2" t="n"/>
      <c r="F156" s="6">
        <f>IF(E156&lt;&gt;"",E156*7.5,"")</f>
        <v/>
      </c>
      <c r="H156" s="2" t="n"/>
    </row>
    <row r="157">
      <c r="D157" s="2" t="n"/>
      <c r="F157" s="6">
        <f>IF(E157&lt;&gt;"",E157*7.5,"")</f>
        <v/>
      </c>
      <c r="H157" s="2" t="n"/>
    </row>
    <row r="158">
      <c r="D158" s="2" t="n"/>
      <c r="F158" s="6">
        <f>IF(E158&lt;&gt;"",E158*7.5,"")</f>
        <v/>
      </c>
      <c r="H158" s="2" t="n"/>
    </row>
    <row r="159">
      <c r="D159" s="2" t="n"/>
      <c r="F159" s="6">
        <f>IF(E159&lt;&gt;"",E159*7.5,"")</f>
        <v/>
      </c>
      <c r="H159" s="2" t="n"/>
    </row>
    <row r="160">
      <c r="D160" s="2" t="n"/>
      <c r="F160" s="6">
        <f>IF(E160&lt;&gt;"",E160*7.5,"")</f>
        <v/>
      </c>
      <c r="H160" s="2" t="n"/>
    </row>
    <row r="161">
      <c r="D161" s="2" t="n"/>
      <c r="F161" s="6">
        <f>IF(E161&lt;&gt;"",E161*7.5,"")</f>
        <v/>
      </c>
      <c r="H161" s="2" t="n"/>
    </row>
    <row r="162">
      <c r="D162" s="2" t="n"/>
      <c r="F162" s="6">
        <f>IF(E162&lt;&gt;"",E162*7.5,"")</f>
        <v/>
      </c>
      <c r="H162" s="2" t="n"/>
    </row>
    <row r="163">
      <c r="D163" s="2" t="n"/>
      <c r="F163" s="6">
        <f>IF(E163&lt;&gt;"",E163*7.5,"")</f>
        <v/>
      </c>
      <c r="H163" s="2" t="n"/>
    </row>
    <row r="164">
      <c r="D164" s="2" t="n"/>
      <c r="F164" s="6">
        <f>IF(E164&lt;&gt;"",E164*7.5,"")</f>
        <v/>
      </c>
      <c r="H164" s="2" t="n"/>
    </row>
    <row r="165">
      <c r="D165" s="2" t="n"/>
      <c r="F165" s="6">
        <f>IF(E165&lt;&gt;"",E165*7.5,"")</f>
        <v/>
      </c>
      <c r="H165" s="2" t="n"/>
    </row>
    <row r="166">
      <c r="D166" s="2" t="n"/>
      <c r="F166" s="6">
        <f>IF(E166&lt;&gt;"",E166*7.5,"")</f>
        <v/>
      </c>
      <c r="H166" s="2" t="n"/>
    </row>
    <row r="167">
      <c r="D167" s="2" t="n"/>
      <c r="F167" s="6">
        <f>IF(E167&lt;&gt;"",E167*7.5,"")</f>
        <v/>
      </c>
      <c r="H167" s="2" t="n"/>
    </row>
    <row r="168">
      <c r="D168" s="2" t="n"/>
      <c r="F168" s="6">
        <f>IF(E168&lt;&gt;"",E168*7.5,"")</f>
        <v/>
      </c>
      <c r="H168" s="2" t="n"/>
    </row>
    <row r="169">
      <c r="D169" s="2" t="n"/>
      <c r="F169" s="6">
        <f>IF(E169&lt;&gt;"",E169*7.5,"")</f>
        <v/>
      </c>
      <c r="H169" s="2" t="n"/>
    </row>
    <row r="170">
      <c r="D170" s="2" t="n"/>
      <c r="F170" s="6">
        <f>IF(E170&lt;&gt;"",E170*7.5,"")</f>
        <v/>
      </c>
      <c r="H170" s="2" t="n"/>
    </row>
    <row r="171">
      <c r="D171" s="2" t="n"/>
      <c r="F171" s="6">
        <f>IF(E171&lt;&gt;"",E171*7.5,"")</f>
        <v/>
      </c>
      <c r="H171" s="2" t="n"/>
    </row>
    <row r="172">
      <c r="D172" s="2" t="n"/>
      <c r="F172" s="6">
        <f>IF(E172&lt;&gt;"",E172*7.5,"")</f>
        <v/>
      </c>
      <c r="H172" s="2" t="n"/>
    </row>
    <row r="173">
      <c r="D173" s="2" t="n"/>
      <c r="F173" s="6">
        <f>IF(E173&lt;&gt;"",E173*7.5,"")</f>
        <v/>
      </c>
      <c r="H173" s="2" t="n"/>
    </row>
    <row r="174">
      <c r="D174" s="2" t="n"/>
      <c r="F174" s="6">
        <f>IF(E174&lt;&gt;"",E174*7.5,"")</f>
        <v/>
      </c>
      <c r="H174" s="2" t="n"/>
    </row>
    <row r="175">
      <c r="D175" s="2" t="n"/>
      <c r="F175" s="6">
        <f>IF(E175&lt;&gt;"",E175*7.5,"")</f>
        <v/>
      </c>
      <c r="H175" s="2" t="n"/>
    </row>
    <row r="176">
      <c r="D176" s="2" t="n"/>
      <c r="F176" s="6">
        <f>IF(E176&lt;&gt;"",E176*7.5,"")</f>
        <v/>
      </c>
      <c r="H176" s="2" t="n"/>
    </row>
    <row r="177">
      <c r="D177" s="2" t="n"/>
      <c r="F177" s="6">
        <f>IF(E177&lt;&gt;"",E177*7.5,"")</f>
        <v/>
      </c>
      <c r="H177" s="2" t="n"/>
    </row>
    <row r="178">
      <c r="D178" s="2" t="n"/>
      <c r="F178" s="6">
        <f>IF(E178&lt;&gt;"",E178*7.5,"")</f>
        <v/>
      </c>
      <c r="H178" s="2" t="n"/>
    </row>
    <row r="179">
      <c r="D179" s="2" t="n"/>
      <c r="F179" s="6">
        <f>IF(E179&lt;&gt;"",E179*7.5,"")</f>
        <v/>
      </c>
      <c r="H179" s="2" t="n"/>
    </row>
    <row r="180">
      <c r="D180" s="2" t="n"/>
      <c r="F180" s="6">
        <f>IF(E180&lt;&gt;"",E180*7.5,"")</f>
        <v/>
      </c>
      <c r="H180" s="2" t="n"/>
    </row>
    <row r="181">
      <c r="D181" s="2" t="n"/>
      <c r="F181" s="6">
        <f>IF(E181&lt;&gt;"",E181*7.5,"")</f>
        <v/>
      </c>
      <c r="H181" s="2" t="n"/>
    </row>
    <row r="182">
      <c r="D182" s="2" t="n"/>
      <c r="F182" s="6">
        <f>IF(E182&lt;&gt;"",E182*7.5,"")</f>
        <v/>
      </c>
      <c r="H182" s="2" t="n"/>
    </row>
    <row r="183">
      <c r="D183" s="2" t="n"/>
      <c r="F183" s="6">
        <f>IF(E183&lt;&gt;"",E183*7.5,"")</f>
        <v/>
      </c>
      <c r="H183" s="2" t="n"/>
    </row>
    <row r="184">
      <c r="D184" s="2" t="n"/>
      <c r="F184" s="6">
        <f>IF(E184&lt;&gt;"",E184*7.5,"")</f>
        <v/>
      </c>
      <c r="H184" s="2" t="n"/>
    </row>
    <row r="185">
      <c r="D185" s="2" t="n"/>
      <c r="F185" s="6">
        <f>IF(E185&lt;&gt;"",E185*7.5,"")</f>
        <v/>
      </c>
      <c r="H185" s="2" t="n"/>
    </row>
    <row r="186">
      <c r="D186" s="2" t="n"/>
      <c r="F186" s="6">
        <f>IF(E186&lt;&gt;"",E186*7.5,"")</f>
        <v/>
      </c>
      <c r="H186" s="2" t="n"/>
    </row>
    <row r="187">
      <c r="D187" s="2" t="n"/>
      <c r="F187" s="6">
        <f>IF(E187&lt;&gt;"",E187*7.5,"")</f>
        <v/>
      </c>
      <c r="H187" s="2" t="n"/>
    </row>
    <row r="188">
      <c r="D188" s="2" t="n"/>
      <c r="F188" s="6">
        <f>IF(E188&lt;&gt;"",E188*7.5,"")</f>
        <v/>
      </c>
      <c r="H188" s="2" t="n"/>
    </row>
    <row r="189">
      <c r="D189" s="2" t="n"/>
      <c r="F189" s="6">
        <f>IF(E189&lt;&gt;"",E189*7.5,"")</f>
        <v/>
      </c>
      <c r="H189" s="2" t="n"/>
    </row>
    <row r="190">
      <c r="D190" s="2" t="n"/>
      <c r="F190" s="6">
        <f>IF(E190&lt;&gt;"",E190*7.5,"")</f>
        <v/>
      </c>
      <c r="H190" s="2" t="n"/>
    </row>
    <row r="191">
      <c r="D191" s="2" t="n"/>
      <c r="F191" s="6">
        <f>IF(E191&lt;&gt;"",E191*7.5,"")</f>
        <v/>
      </c>
      <c r="H191" s="2" t="n"/>
    </row>
    <row r="192">
      <c r="D192" s="2" t="n"/>
      <c r="F192" s="6">
        <f>IF(E192&lt;&gt;"",E192*7.5,"")</f>
        <v/>
      </c>
      <c r="H192" s="2" t="n"/>
    </row>
    <row r="193">
      <c r="D193" s="2" t="n"/>
      <c r="F193" s="6">
        <f>IF(E193&lt;&gt;"",E193*7.5,"")</f>
        <v/>
      </c>
      <c r="H193" s="2" t="n"/>
    </row>
    <row r="194">
      <c r="D194" s="2" t="n"/>
      <c r="F194" s="6">
        <f>IF(E194&lt;&gt;"",E194*7.5,"")</f>
        <v/>
      </c>
      <c r="H194" s="2" t="n"/>
    </row>
    <row r="195">
      <c r="D195" s="2" t="n"/>
      <c r="F195" s="6">
        <f>IF(E195&lt;&gt;"",E195*7.5,"")</f>
        <v/>
      </c>
      <c r="H195" s="2" t="n"/>
    </row>
    <row r="196">
      <c r="D196" s="2" t="n"/>
      <c r="F196" s="6">
        <f>IF(E196&lt;&gt;"",E196*7.5,"")</f>
        <v/>
      </c>
      <c r="H196" s="2" t="n"/>
    </row>
    <row r="197">
      <c r="D197" s="2" t="n"/>
      <c r="F197" s="6">
        <f>IF(E197&lt;&gt;"",E197*7.5,"")</f>
        <v/>
      </c>
      <c r="H197" s="2" t="n"/>
    </row>
    <row r="198">
      <c r="D198" s="2" t="n"/>
      <c r="F198" s="6">
        <f>IF(E198&lt;&gt;"",E198*7.5,"")</f>
        <v/>
      </c>
      <c r="H198" s="2" t="n"/>
    </row>
    <row r="199">
      <c r="D199" s="2" t="n"/>
      <c r="F199" s="6">
        <f>IF(E199&lt;&gt;"",E199*7.5,"")</f>
        <v/>
      </c>
      <c r="H199" s="2" t="n"/>
    </row>
    <row r="200">
      <c r="D200" s="2" t="n"/>
      <c r="F200" s="6">
        <f>IF(E200&lt;&gt;"",E200*7.5,"")</f>
        <v/>
      </c>
      <c r="H200" s="2" t="n"/>
    </row>
    <row r="201">
      <c r="D201" s="2" t="n"/>
      <c r="F201" s="6">
        <f>IF(E201&lt;&gt;"",E201*7.5,"")</f>
        <v/>
      </c>
      <c r="H201" s="2" t="n"/>
    </row>
    <row r="202">
      <c r="D202" s="2" t="n"/>
      <c r="F202" s="6">
        <f>IF(E202&lt;&gt;"",E202*7.5,"")</f>
        <v/>
      </c>
      <c r="H202" s="2" t="n"/>
    </row>
    <row r="203">
      <c r="D203" s="2" t="n"/>
      <c r="F203" s="6">
        <f>IF(E203&lt;&gt;"",E203*7.5,"")</f>
        <v/>
      </c>
      <c r="H203" s="2" t="n"/>
    </row>
    <row r="204">
      <c r="D204" s="2" t="n"/>
      <c r="F204" s="6">
        <f>IF(E204&lt;&gt;"",E204*7.5,"")</f>
        <v/>
      </c>
      <c r="H204" s="2" t="n"/>
    </row>
    <row r="205">
      <c r="D205" s="2" t="n"/>
      <c r="F205" s="6">
        <f>IF(E205&lt;&gt;"",E205*7.5,"")</f>
        <v/>
      </c>
      <c r="H205" s="2" t="n"/>
    </row>
    <row r="206">
      <c r="D206" s="2" t="n"/>
      <c r="F206" s="6">
        <f>IF(E206&lt;&gt;"",E206*7.5,"")</f>
        <v/>
      </c>
      <c r="H206" s="2" t="n"/>
    </row>
    <row r="207">
      <c r="D207" s="2" t="n"/>
      <c r="F207" s="6">
        <f>IF(E207&lt;&gt;"",E207*7.5,"")</f>
        <v/>
      </c>
      <c r="H207" s="2" t="n"/>
    </row>
    <row r="208">
      <c r="D208" s="2" t="n"/>
      <c r="F208" s="6">
        <f>IF(E208&lt;&gt;"",E208*7.5,"")</f>
        <v/>
      </c>
      <c r="H208" s="2" t="n"/>
    </row>
    <row r="209">
      <c r="D209" s="2" t="n"/>
      <c r="F209" s="6">
        <f>IF(E209&lt;&gt;"",E209*7.5,"")</f>
        <v/>
      </c>
      <c r="H209" s="2" t="n"/>
    </row>
    <row r="210">
      <c r="D210" s="2" t="n"/>
      <c r="F210" s="6">
        <f>IF(E210&lt;&gt;"",E210*7.5,"")</f>
        <v/>
      </c>
      <c r="H210" s="2" t="n"/>
    </row>
    <row r="211">
      <c r="D211" s="2" t="n"/>
      <c r="F211" s="6">
        <f>IF(E211&lt;&gt;"",E211*7.5,"")</f>
        <v/>
      </c>
      <c r="H211" s="2" t="n"/>
    </row>
    <row r="212">
      <c r="D212" s="2" t="n"/>
      <c r="F212" s="6">
        <f>IF(E212&lt;&gt;"",E212*7.5,"")</f>
        <v/>
      </c>
      <c r="H212" s="2" t="n"/>
    </row>
    <row r="213">
      <c r="D213" s="2" t="n"/>
      <c r="F213" s="6">
        <f>IF(E213&lt;&gt;"",E213*7.5,"")</f>
        <v/>
      </c>
      <c r="H213" s="2" t="n"/>
    </row>
    <row r="214">
      <c r="D214" s="2" t="n"/>
      <c r="F214" s="6">
        <f>IF(E214&lt;&gt;"",E214*7.5,"")</f>
        <v/>
      </c>
      <c r="H214" s="2" t="n"/>
    </row>
    <row r="215">
      <c r="D215" s="2" t="n"/>
      <c r="F215" s="6">
        <f>IF(E215&lt;&gt;"",E215*7.5,"")</f>
        <v/>
      </c>
      <c r="H215" s="2" t="n"/>
    </row>
    <row r="216">
      <c r="D216" s="2" t="n"/>
      <c r="F216" s="6">
        <f>IF(E216&lt;&gt;"",E216*7.5,"")</f>
        <v/>
      </c>
      <c r="H216" s="2" t="n"/>
    </row>
    <row r="217">
      <c r="D217" s="2" t="n"/>
      <c r="F217" s="6">
        <f>IF(E217&lt;&gt;"",E217*7.5,"")</f>
        <v/>
      </c>
      <c r="H217" s="2" t="n"/>
    </row>
    <row r="218">
      <c r="D218" s="2" t="n"/>
      <c r="F218" s="6">
        <f>IF(E218&lt;&gt;"",E218*7.5,"")</f>
        <v/>
      </c>
      <c r="H218" s="2" t="n"/>
    </row>
    <row r="219">
      <c r="D219" s="2" t="n"/>
      <c r="F219" s="6">
        <f>IF(E219&lt;&gt;"",E219*7.5,"")</f>
        <v/>
      </c>
      <c r="H219" s="2" t="n"/>
    </row>
    <row r="220">
      <c r="D220" s="2" t="n"/>
      <c r="F220" s="6">
        <f>IF(E220&lt;&gt;"",E220*7.5,"")</f>
        <v/>
      </c>
      <c r="H220" s="2" t="n"/>
    </row>
    <row r="221">
      <c r="D221" s="2" t="n"/>
      <c r="F221" s="6">
        <f>IF(E221&lt;&gt;"",E221*7.5,"")</f>
        <v/>
      </c>
      <c r="H221" s="2" t="n"/>
    </row>
    <row r="222">
      <c r="D222" s="2" t="n"/>
      <c r="F222" s="6">
        <f>IF(E222&lt;&gt;"",E222*7.5,"")</f>
        <v/>
      </c>
      <c r="H222" s="2" t="n"/>
    </row>
    <row r="223">
      <c r="D223" s="2" t="n"/>
      <c r="F223" s="6">
        <f>IF(E223&lt;&gt;"",E223*7.5,"")</f>
        <v/>
      </c>
      <c r="H223" s="2" t="n"/>
    </row>
    <row r="224">
      <c r="D224" s="2" t="n"/>
      <c r="F224" s="6">
        <f>IF(E224&lt;&gt;"",E224*7.5,"")</f>
        <v/>
      </c>
      <c r="H224" s="2" t="n"/>
    </row>
    <row r="225">
      <c r="D225" s="2" t="n"/>
      <c r="F225" s="6">
        <f>IF(E225&lt;&gt;"",E225*7.5,"")</f>
        <v/>
      </c>
      <c r="H225" s="2" t="n"/>
    </row>
    <row r="226">
      <c r="D226" s="2" t="n"/>
      <c r="F226" s="6">
        <f>IF(E226&lt;&gt;"",E226*7.5,"")</f>
        <v/>
      </c>
      <c r="H226" s="2" t="n"/>
    </row>
    <row r="227">
      <c r="D227" s="2" t="n"/>
      <c r="F227" s="6">
        <f>IF(E227&lt;&gt;"",E227*7.5,"")</f>
        <v/>
      </c>
      <c r="H227" s="2" t="n"/>
    </row>
    <row r="228">
      <c r="D228" s="2" t="n"/>
      <c r="F228" s="6">
        <f>IF(E228&lt;&gt;"",E228*7.5,"")</f>
        <v/>
      </c>
      <c r="H228" s="2" t="n"/>
    </row>
    <row r="229">
      <c r="D229" s="2" t="n"/>
      <c r="F229" s="6">
        <f>IF(E229&lt;&gt;"",E229*7.5,"")</f>
        <v/>
      </c>
      <c r="H229" s="2" t="n"/>
    </row>
    <row r="230">
      <c r="D230" s="2" t="n"/>
      <c r="F230" s="6">
        <f>IF(E230&lt;&gt;"",E230*7.5,"")</f>
        <v/>
      </c>
      <c r="H230" s="2" t="n"/>
    </row>
    <row r="231">
      <c r="D231" s="2" t="n"/>
      <c r="F231" s="6">
        <f>IF(E231&lt;&gt;"",E231*7.5,"")</f>
        <v/>
      </c>
      <c r="H231" s="2" t="n"/>
    </row>
    <row r="232">
      <c r="D232" s="2" t="n"/>
      <c r="F232" s="6">
        <f>IF(E232&lt;&gt;"",E232*7.5,"")</f>
        <v/>
      </c>
      <c r="H232" s="2" t="n"/>
    </row>
    <row r="233">
      <c r="D233" s="2" t="n"/>
      <c r="F233" s="6">
        <f>IF(E233&lt;&gt;"",E233*7.5,"")</f>
        <v/>
      </c>
      <c r="H233" s="2" t="n"/>
    </row>
    <row r="234">
      <c r="D234" s="2" t="n"/>
      <c r="F234" s="6">
        <f>IF(E234&lt;&gt;"",E234*7.5,"")</f>
        <v/>
      </c>
      <c r="H234" s="2" t="n"/>
    </row>
    <row r="235">
      <c r="D235" s="2" t="n"/>
      <c r="F235" s="6">
        <f>IF(E235&lt;&gt;"",E235*7.5,"")</f>
        <v/>
      </c>
      <c r="H235" s="2" t="n"/>
    </row>
    <row r="236">
      <c r="D236" s="2" t="n"/>
      <c r="F236" s="6">
        <f>IF(E236&lt;&gt;"",E236*7.5,"")</f>
        <v/>
      </c>
      <c r="H236" s="2" t="n"/>
    </row>
    <row r="237">
      <c r="D237" s="2" t="n"/>
      <c r="F237" s="6">
        <f>IF(E237&lt;&gt;"",E237*7.5,"")</f>
        <v/>
      </c>
      <c r="H237" s="2" t="n"/>
    </row>
    <row r="238">
      <c r="D238" s="2" t="n"/>
      <c r="F238" s="6">
        <f>IF(E238&lt;&gt;"",E238*7.5,"")</f>
        <v/>
      </c>
      <c r="H238" s="2" t="n"/>
    </row>
    <row r="239">
      <c r="D239" s="2" t="n"/>
      <c r="F239" s="6">
        <f>IF(E239&lt;&gt;"",E239*7.5,"")</f>
        <v/>
      </c>
      <c r="H239" s="2" t="n"/>
    </row>
    <row r="240">
      <c r="D240" s="2" t="n"/>
      <c r="F240" s="6">
        <f>IF(E240&lt;&gt;"",E240*7.5,"")</f>
        <v/>
      </c>
      <c r="H240" s="2" t="n"/>
    </row>
    <row r="241">
      <c r="D241" s="2" t="n"/>
      <c r="F241" s="6">
        <f>IF(E241&lt;&gt;"",E241*7.5,"")</f>
        <v/>
      </c>
      <c r="H241" s="2" t="n"/>
    </row>
    <row r="242">
      <c r="D242" s="2" t="n"/>
      <c r="F242" s="6">
        <f>IF(E242&lt;&gt;"",E242*7.5,"")</f>
        <v/>
      </c>
      <c r="H242" s="2" t="n"/>
    </row>
    <row r="243">
      <c r="D243" s="2" t="n"/>
      <c r="F243" s="6">
        <f>IF(E243&lt;&gt;"",E243*7.5,"")</f>
        <v/>
      </c>
      <c r="H243" s="2" t="n"/>
    </row>
    <row r="244">
      <c r="D244" s="2" t="n"/>
      <c r="F244" s="6">
        <f>IF(E244&lt;&gt;"",E244*7.5,"")</f>
        <v/>
      </c>
      <c r="H244" s="2" t="n"/>
    </row>
    <row r="245">
      <c r="D245" s="2" t="n"/>
      <c r="F245" s="6">
        <f>IF(E245&lt;&gt;"",E245*7.5,"")</f>
        <v/>
      </c>
      <c r="H245" s="2" t="n"/>
    </row>
    <row r="246">
      <c r="D246" s="2" t="n"/>
      <c r="F246" s="6">
        <f>IF(E246&lt;&gt;"",E246*7.5,"")</f>
        <v/>
      </c>
      <c r="H246" s="2" t="n"/>
    </row>
    <row r="247">
      <c r="D247" s="2" t="n"/>
      <c r="F247" s="6">
        <f>IF(E247&lt;&gt;"",E247*7.5,"")</f>
        <v/>
      </c>
      <c r="H247" s="2" t="n"/>
    </row>
    <row r="248">
      <c r="D248" s="2" t="n"/>
      <c r="F248" s="6">
        <f>IF(E248&lt;&gt;"",E248*7.5,"")</f>
        <v/>
      </c>
      <c r="H248" s="2" t="n"/>
    </row>
    <row r="249">
      <c r="D249" s="2" t="n"/>
      <c r="F249" s="6">
        <f>IF(E249&lt;&gt;"",E249*7.5,"")</f>
        <v/>
      </c>
      <c r="H249" s="2" t="n"/>
    </row>
    <row r="250">
      <c r="D250" s="2" t="n"/>
      <c r="F250" s="6">
        <f>IF(E250&lt;&gt;"",E250*7.5,"")</f>
        <v/>
      </c>
      <c r="H250" s="2" t="n"/>
    </row>
    <row r="251">
      <c r="D251" s="2" t="n"/>
      <c r="F251" s="6">
        <f>IF(E251&lt;&gt;"",E251*7.5,"")</f>
        <v/>
      </c>
      <c r="H251" s="2" t="n"/>
    </row>
    <row r="252">
      <c r="D252" s="2" t="n"/>
      <c r="F252" s="6">
        <f>IF(E252&lt;&gt;"",E252*7.5,"")</f>
        <v/>
      </c>
      <c r="H252" s="2" t="n"/>
    </row>
    <row r="253">
      <c r="D253" s="2" t="n"/>
      <c r="F253" s="6">
        <f>IF(E253&lt;&gt;"",E253*7.5,"")</f>
        <v/>
      </c>
      <c r="H253" s="2" t="n"/>
    </row>
    <row r="254">
      <c r="D254" s="2" t="n"/>
      <c r="F254" s="6">
        <f>IF(E254&lt;&gt;"",E254*7.5,"")</f>
        <v/>
      </c>
      <c r="H254" s="2" t="n"/>
    </row>
    <row r="255">
      <c r="D255" s="2" t="n"/>
      <c r="F255" s="6">
        <f>IF(E255&lt;&gt;"",E255*7.5,"")</f>
        <v/>
      </c>
      <c r="H255" s="2" t="n"/>
    </row>
    <row r="256">
      <c r="D256" s="2" t="n"/>
      <c r="F256" s="6">
        <f>IF(E256&lt;&gt;"",E256*7.5,"")</f>
        <v/>
      </c>
      <c r="H256" s="2" t="n"/>
    </row>
    <row r="257">
      <c r="D257" s="2" t="n"/>
      <c r="F257" s="6">
        <f>IF(E257&lt;&gt;"",E257*7.5,"")</f>
        <v/>
      </c>
      <c r="H257" s="2" t="n"/>
    </row>
    <row r="258">
      <c r="D258" s="2" t="n"/>
      <c r="F258" s="6">
        <f>IF(E258&lt;&gt;"",E258*7.5,"")</f>
        <v/>
      </c>
      <c r="H258" s="2" t="n"/>
    </row>
    <row r="259">
      <c r="D259" s="2" t="n"/>
      <c r="F259" s="6">
        <f>IF(E259&lt;&gt;"",E259*7.5,"")</f>
        <v/>
      </c>
      <c r="H259" s="2" t="n"/>
    </row>
    <row r="260">
      <c r="D260" s="2" t="n"/>
      <c r="F260" s="6">
        <f>IF(E260&lt;&gt;"",E260*7.5,"")</f>
        <v/>
      </c>
      <c r="H260" s="2" t="n"/>
    </row>
    <row r="261">
      <c r="D261" s="2" t="n"/>
      <c r="F261" s="6">
        <f>IF(E261&lt;&gt;"",E261*7.5,"")</f>
        <v/>
      </c>
      <c r="H261" s="2" t="n"/>
    </row>
    <row r="262">
      <c r="D262" s="2" t="n"/>
      <c r="F262" s="6">
        <f>IF(E262&lt;&gt;"",E262*7.5,"")</f>
        <v/>
      </c>
      <c r="H262" s="2" t="n"/>
    </row>
    <row r="263">
      <c r="D263" s="2" t="n"/>
      <c r="F263" s="6">
        <f>IF(E263&lt;&gt;"",E263*7.5,"")</f>
        <v/>
      </c>
      <c r="H263" s="2" t="n"/>
    </row>
    <row r="264">
      <c r="D264" s="2" t="n"/>
      <c r="F264" s="6">
        <f>IF(E264&lt;&gt;"",E264*7.5,"")</f>
        <v/>
      </c>
      <c r="H264" s="2" t="n"/>
    </row>
    <row r="265">
      <c r="D265" s="2" t="n"/>
      <c r="F265" s="6">
        <f>IF(E265&lt;&gt;"",E265*7.5,"")</f>
        <v/>
      </c>
      <c r="H265" s="2" t="n"/>
    </row>
    <row r="266">
      <c r="D266" s="2" t="n"/>
      <c r="F266" s="6">
        <f>IF(E266&lt;&gt;"",E266*7.5,"")</f>
        <v/>
      </c>
      <c r="H266" s="2" t="n"/>
    </row>
    <row r="267">
      <c r="D267" s="2" t="n"/>
      <c r="F267" s="6">
        <f>IF(E267&lt;&gt;"",E267*7.5,"")</f>
        <v/>
      </c>
      <c r="H267" s="2" t="n"/>
    </row>
    <row r="268">
      <c r="D268" s="2" t="n"/>
      <c r="F268" s="6">
        <f>IF(E268&lt;&gt;"",E268*7.5,"")</f>
        <v/>
      </c>
      <c r="H268" s="2" t="n"/>
    </row>
    <row r="269">
      <c r="D269" s="2" t="n"/>
      <c r="F269" s="6">
        <f>IF(E269&lt;&gt;"",E269*7.5,"")</f>
        <v/>
      </c>
      <c r="H269" s="2" t="n"/>
    </row>
    <row r="270">
      <c r="D270" s="2" t="n"/>
      <c r="F270" s="6">
        <f>IF(E270&lt;&gt;"",E270*7.5,"")</f>
        <v/>
      </c>
      <c r="H270" s="2" t="n"/>
    </row>
    <row r="271">
      <c r="D271" s="2" t="n"/>
      <c r="F271" s="6">
        <f>IF(E271&lt;&gt;"",E271*7.5,"")</f>
        <v/>
      </c>
      <c r="H271" s="2" t="n"/>
    </row>
    <row r="272">
      <c r="D272" s="2" t="n"/>
      <c r="F272" s="6">
        <f>IF(E272&lt;&gt;"",E272*7.5,"")</f>
        <v/>
      </c>
      <c r="H272" s="2" t="n"/>
    </row>
    <row r="273">
      <c r="D273" s="2" t="n"/>
      <c r="F273" s="6">
        <f>IF(E273&lt;&gt;"",E273*7.5,"")</f>
        <v/>
      </c>
      <c r="H273" s="2" t="n"/>
    </row>
    <row r="274">
      <c r="D274" s="2" t="n"/>
      <c r="F274" s="6">
        <f>IF(E274&lt;&gt;"",E274*7.5,"")</f>
        <v/>
      </c>
      <c r="H274" s="2" t="n"/>
    </row>
    <row r="275">
      <c r="D275" s="2" t="n"/>
      <c r="F275" s="6">
        <f>IF(E275&lt;&gt;"",E275*7.5,"")</f>
        <v/>
      </c>
      <c r="H275" s="2" t="n"/>
    </row>
    <row r="276">
      <c r="D276" s="2" t="n"/>
      <c r="F276" s="6">
        <f>IF(E276&lt;&gt;"",E276*7.5,"")</f>
        <v/>
      </c>
      <c r="H276" s="2" t="n"/>
    </row>
    <row r="277">
      <c r="D277" s="2" t="n"/>
      <c r="F277" s="6">
        <f>IF(E277&lt;&gt;"",E277*7.5,"")</f>
        <v/>
      </c>
      <c r="H277" s="2" t="n"/>
    </row>
    <row r="278">
      <c r="D278" s="2" t="n"/>
      <c r="F278" s="6">
        <f>IF(E278&lt;&gt;"",E278*7.5,"")</f>
        <v/>
      </c>
      <c r="H278" s="2" t="n"/>
    </row>
    <row r="279">
      <c r="D279" s="2" t="n"/>
      <c r="F279" s="6">
        <f>IF(E279&lt;&gt;"",E279*7.5,"")</f>
        <v/>
      </c>
      <c r="H279" s="2" t="n"/>
    </row>
    <row r="280">
      <c r="D280" s="2" t="n"/>
      <c r="F280" s="6">
        <f>IF(E280&lt;&gt;"",E280*7.5,"")</f>
        <v/>
      </c>
      <c r="H280" s="2" t="n"/>
    </row>
    <row r="281">
      <c r="D281" s="2" t="n"/>
      <c r="F281" s="6">
        <f>IF(E281&lt;&gt;"",E281*7.5,"")</f>
        <v/>
      </c>
      <c r="H281" s="2" t="n"/>
    </row>
    <row r="282">
      <c r="D282" s="2" t="n"/>
      <c r="F282" s="6">
        <f>IF(E282&lt;&gt;"",E282*7.5,"")</f>
        <v/>
      </c>
      <c r="H282" s="2" t="n"/>
    </row>
    <row r="283">
      <c r="D283" s="2" t="n"/>
      <c r="F283" s="6">
        <f>IF(E283&lt;&gt;"",E283*7.5,"")</f>
        <v/>
      </c>
      <c r="H283" s="2" t="n"/>
    </row>
    <row r="284">
      <c r="D284" s="2" t="n"/>
      <c r="F284" s="6">
        <f>IF(E284&lt;&gt;"",E284*7.5,"")</f>
        <v/>
      </c>
      <c r="H284" s="2" t="n"/>
    </row>
    <row r="285">
      <c r="D285" s="2" t="n"/>
      <c r="F285" s="6">
        <f>IF(E285&lt;&gt;"",E285*7.5,"")</f>
        <v/>
      </c>
      <c r="H285" s="2" t="n"/>
    </row>
    <row r="286">
      <c r="D286" s="2" t="n"/>
      <c r="F286" s="6">
        <f>IF(E286&lt;&gt;"",E286*7.5,"")</f>
        <v/>
      </c>
      <c r="H286" s="2" t="n"/>
    </row>
    <row r="287">
      <c r="D287" s="2" t="n"/>
      <c r="F287" s="6">
        <f>IF(E287&lt;&gt;"",E287*7.5,"")</f>
        <v/>
      </c>
      <c r="H287" s="2" t="n"/>
    </row>
    <row r="288">
      <c r="D288" s="2" t="n"/>
      <c r="F288" s="6">
        <f>IF(E288&lt;&gt;"",E288*7.5,"")</f>
        <v/>
      </c>
      <c r="H288" s="2" t="n"/>
    </row>
    <row r="289">
      <c r="D289" s="2" t="n"/>
      <c r="F289" s="6">
        <f>IF(E289&lt;&gt;"",E289*7.5,"")</f>
        <v/>
      </c>
      <c r="H289" s="2" t="n"/>
    </row>
    <row r="290">
      <c r="D290" s="2" t="n"/>
      <c r="F290" s="6">
        <f>IF(E290&lt;&gt;"",E290*7.5,"")</f>
        <v/>
      </c>
      <c r="H290" s="2" t="n"/>
    </row>
    <row r="291">
      <c r="D291" s="2" t="n"/>
      <c r="F291" s="6">
        <f>IF(E291&lt;&gt;"",E291*7.5,"")</f>
        <v/>
      </c>
      <c r="H291" s="2" t="n"/>
    </row>
    <row r="292">
      <c r="D292" s="2" t="n"/>
      <c r="F292" s="6">
        <f>IF(E292&lt;&gt;"",E292*7.5,"")</f>
        <v/>
      </c>
      <c r="H292" s="2" t="n"/>
    </row>
    <row r="293">
      <c r="D293" s="2" t="n"/>
      <c r="F293" s="6">
        <f>IF(E293&lt;&gt;"",E293*7.5,"")</f>
        <v/>
      </c>
      <c r="H293" s="2" t="n"/>
    </row>
    <row r="294">
      <c r="D294" s="2" t="n"/>
      <c r="F294" s="6">
        <f>IF(E294&lt;&gt;"",E294*7.5,"")</f>
        <v/>
      </c>
      <c r="H294" s="2" t="n"/>
    </row>
    <row r="295">
      <c r="D295" s="2" t="n"/>
      <c r="F295" s="6">
        <f>IF(E295&lt;&gt;"",E295*7.5,"")</f>
        <v/>
      </c>
      <c r="H295" s="2" t="n"/>
    </row>
    <row r="296">
      <c r="D296" s="2" t="n"/>
      <c r="F296" s="6">
        <f>IF(E296&lt;&gt;"",E296*7.5,"")</f>
        <v/>
      </c>
      <c r="H296" s="2" t="n"/>
    </row>
    <row r="297">
      <c r="D297" s="2" t="n"/>
      <c r="F297" s="6">
        <f>IF(E297&lt;&gt;"",E297*7.5,"")</f>
        <v/>
      </c>
      <c r="H297" s="2" t="n"/>
    </row>
    <row r="298">
      <c r="D298" s="2" t="n"/>
      <c r="F298" s="6">
        <f>IF(E298&lt;&gt;"",E298*7.5,"")</f>
        <v/>
      </c>
      <c r="H298" s="2" t="n"/>
    </row>
    <row r="299">
      <c r="D299" s="2" t="n"/>
      <c r="F299" s="6">
        <f>IF(E299&lt;&gt;"",E299*7.5,"")</f>
        <v/>
      </c>
      <c r="H299" s="2" t="n"/>
    </row>
    <row r="300">
      <c r="D300" s="2" t="n"/>
      <c r="F300" s="6">
        <f>IF(E300&lt;&gt;"",E300*7.5,"")</f>
        <v/>
      </c>
      <c r="H300" s="2" t="n"/>
    </row>
    <row r="301">
      <c r="D301" s="2" t="n"/>
      <c r="F301" s="6">
        <f>IF(E301&lt;&gt;"",E301*7.5,"")</f>
        <v/>
      </c>
      <c r="H301" s="2" t="n"/>
    </row>
    <row r="302">
      <c r="D302" s="2" t="n"/>
      <c r="F302" s="6">
        <f>IF(E302&lt;&gt;"",E302*7.5,"")</f>
        <v/>
      </c>
      <c r="H302" s="2" t="n"/>
    </row>
    <row r="303">
      <c r="D303" s="2" t="n"/>
      <c r="F303" s="6">
        <f>IF(E303&lt;&gt;"",E303*7.5,"")</f>
        <v/>
      </c>
      <c r="H303" s="2" t="n"/>
    </row>
    <row r="304">
      <c r="D304" s="2" t="n"/>
      <c r="F304" s="6">
        <f>IF(E304&lt;&gt;"",E304*7.5,"")</f>
        <v/>
      </c>
      <c r="H304" s="2" t="n"/>
    </row>
    <row r="305">
      <c r="D305" s="2" t="n"/>
      <c r="F305" s="6">
        <f>IF(E305&lt;&gt;"",E305*7.5,"")</f>
        <v/>
      </c>
      <c r="H305" s="2" t="n"/>
    </row>
    <row r="306">
      <c r="D306" s="2" t="n"/>
      <c r="F306" s="6">
        <f>IF(E306&lt;&gt;"",E306*7.5,"")</f>
        <v/>
      </c>
      <c r="H306" s="2" t="n"/>
    </row>
    <row r="307">
      <c r="D307" s="2" t="n"/>
      <c r="F307" s="6">
        <f>IF(E307&lt;&gt;"",E307*7.5,"")</f>
        <v/>
      </c>
      <c r="H307" s="2" t="n"/>
    </row>
    <row r="308">
      <c r="D308" s="2" t="n"/>
      <c r="F308" s="6">
        <f>IF(E308&lt;&gt;"",E308*7.5,"")</f>
        <v/>
      </c>
      <c r="H308" s="2" t="n"/>
    </row>
    <row r="309">
      <c r="D309" s="2" t="n"/>
      <c r="F309" s="6">
        <f>IF(E309&lt;&gt;"",E309*7.5,"")</f>
        <v/>
      </c>
      <c r="H309" s="2" t="n"/>
    </row>
    <row r="310">
      <c r="D310" s="2" t="n"/>
      <c r="F310" s="6">
        <f>IF(E310&lt;&gt;"",E310*7.5,"")</f>
        <v/>
      </c>
      <c r="H310" s="2" t="n"/>
    </row>
    <row r="311">
      <c r="D311" s="2" t="n"/>
      <c r="F311" s="6">
        <f>IF(E311&lt;&gt;"",E311*7.5,"")</f>
        <v/>
      </c>
      <c r="H311" s="2" t="n"/>
    </row>
    <row r="312">
      <c r="D312" s="2" t="n"/>
      <c r="F312" s="6">
        <f>IF(E312&lt;&gt;"",E312*7.5,"")</f>
        <v/>
      </c>
      <c r="H312" s="2" t="n"/>
    </row>
    <row r="313">
      <c r="D313" s="2" t="n"/>
      <c r="F313" s="6">
        <f>IF(E313&lt;&gt;"",E313*7.5,"")</f>
        <v/>
      </c>
      <c r="H313" s="2" t="n"/>
    </row>
    <row r="314">
      <c r="D314" s="2" t="n"/>
      <c r="F314" s="6">
        <f>IF(E314&lt;&gt;"",E314*7.5,"")</f>
        <v/>
      </c>
      <c r="H314" s="2" t="n"/>
    </row>
    <row r="315">
      <c r="D315" s="2" t="n"/>
      <c r="F315" s="6">
        <f>IF(E315&lt;&gt;"",E315*7.5,"")</f>
        <v/>
      </c>
      <c r="H315" s="2" t="n"/>
    </row>
    <row r="316">
      <c r="D316" s="2" t="n"/>
      <c r="F316" s="6">
        <f>IF(E316&lt;&gt;"",E316*7.5,"")</f>
        <v/>
      </c>
      <c r="H316" s="2" t="n"/>
    </row>
    <row r="317">
      <c r="D317" s="2" t="n"/>
      <c r="F317" s="6">
        <f>IF(E317&lt;&gt;"",E317*7.5,"")</f>
        <v/>
      </c>
      <c r="H317" s="2" t="n"/>
    </row>
    <row r="318">
      <c r="D318" s="2" t="n"/>
      <c r="F318" s="6">
        <f>IF(E318&lt;&gt;"",E318*7.5,"")</f>
        <v/>
      </c>
      <c r="H318" s="2" t="n"/>
    </row>
    <row r="319">
      <c r="D319" s="2" t="n"/>
      <c r="F319" s="6">
        <f>IF(E319&lt;&gt;"",E319*7.5,"")</f>
        <v/>
      </c>
      <c r="H319" s="2" t="n"/>
    </row>
    <row r="320">
      <c r="D320" s="2" t="n"/>
      <c r="F320" s="6">
        <f>IF(E320&lt;&gt;"",E320*7.5,"")</f>
        <v/>
      </c>
      <c r="H320" s="2" t="n"/>
    </row>
    <row r="321">
      <c r="D321" s="2" t="n"/>
      <c r="F321" s="6">
        <f>IF(E321&lt;&gt;"",E321*7.5,"")</f>
        <v/>
      </c>
      <c r="H321" s="2" t="n"/>
    </row>
    <row r="322">
      <c r="D322" s="2" t="n"/>
      <c r="F322" s="6">
        <f>IF(E322&lt;&gt;"",E322*7.5,"")</f>
        <v/>
      </c>
      <c r="H322" s="2" t="n"/>
    </row>
    <row r="323">
      <c r="D323" s="2" t="n"/>
      <c r="F323" s="6">
        <f>IF(E323&lt;&gt;"",E323*7.5,"")</f>
        <v/>
      </c>
      <c r="H323" s="2" t="n"/>
    </row>
    <row r="324">
      <c r="D324" s="2" t="n"/>
      <c r="F324" s="6">
        <f>IF(E324&lt;&gt;"",E324*7.5,"")</f>
        <v/>
      </c>
      <c r="H324" s="2" t="n"/>
    </row>
    <row r="325">
      <c r="D325" s="2" t="n"/>
      <c r="F325" s="6">
        <f>IF(E325&lt;&gt;"",E325*7.5,"")</f>
        <v/>
      </c>
      <c r="H325" s="2" t="n"/>
    </row>
    <row r="326">
      <c r="D326" s="2" t="n"/>
      <c r="F326" s="6">
        <f>IF(E326&lt;&gt;"",E326*7.5,"")</f>
        <v/>
      </c>
      <c r="H326" s="2" t="n"/>
    </row>
    <row r="327">
      <c r="D327" s="2" t="n"/>
      <c r="F327" s="6">
        <f>IF(E327&lt;&gt;"",E327*7.5,"")</f>
        <v/>
      </c>
      <c r="H327" s="2" t="n"/>
    </row>
    <row r="328">
      <c r="D328" s="2" t="n"/>
      <c r="F328" s="6">
        <f>IF(E328&lt;&gt;"",E328*7.5,"")</f>
        <v/>
      </c>
      <c r="H328" s="2" t="n"/>
    </row>
    <row r="329">
      <c r="D329" s="2" t="n"/>
      <c r="F329" s="6">
        <f>IF(E329&lt;&gt;"",E329*7.5,"")</f>
        <v/>
      </c>
      <c r="H329" s="2" t="n"/>
    </row>
    <row r="330">
      <c r="D330" s="2" t="n"/>
      <c r="F330" s="6">
        <f>IF(E330&lt;&gt;"",E330*7.5,"")</f>
        <v/>
      </c>
      <c r="H330" s="2" t="n"/>
    </row>
    <row r="331">
      <c r="D331" s="2" t="n"/>
      <c r="F331" s="6">
        <f>IF(E331&lt;&gt;"",E331*7.5,"")</f>
        <v/>
      </c>
      <c r="H331" s="2" t="n"/>
    </row>
    <row r="332">
      <c r="D332" s="2" t="n"/>
      <c r="F332" s="6">
        <f>IF(E332&lt;&gt;"",E332*7.5,"")</f>
        <v/>
      </c>
      <c r="H332" s="2" t="n"/>
    </row>
    <row r="333">
      <c r="D333" s="2" t="n"/>
      <c r="F333" s="6">
        <f>IF(E333&lt;&gt;"",E333*7.5,"")</f>
        <v/>
      </c>
      <c r="H333" s="2" t="n"/>
    </row>
    <row r="334">
      <c r="D334" s="2" t="n"/>
      <c r="F334" s="6">
        <f>IF(E334&lt;&gt;"",E334*7.5,"")</f>
        <v/>
      </c>
      <c r="H334" s="2" t="n"/>
    </row>
    <row r="335">
      <c r="D335" s="2" t="n"/>
      <c r="F335" s="6">
        <f>IF(E335&lt;&gt;"",E335*7.5,"")</f>
        <v/>
      </c>
      <c r="H335" s="2" t="n"/>
    </row>
    <row r="336">
      <c r="D336" s="2" t="n"/>
      <c r="F336" s="6">
        <f>IF(E336&lt;&gt;"",E336*7.5,"")</f>
        <v/>
      </c>
      <c r="H336" s="2" t="n"/>
    </row>
    <row r="337">
      <c r="D337" s="2" t="n"/>
      <c r="F337" s="6">
        <f>IF(E337&lt;&gt;"",E337*7.5,"")</f>
        <v/>
      </c>
      <c r="H337" s="2" t="n"/>
    </row>
    <row r="338">
      <c r="D338" s="2" t="n"/>
      <c r="F338" s="6">
        <f>IF(E338&lt;&gt;"",E338*7.5,"")</f>
        <v/>
      </c>
      <c r="H338" s="2" t="n"/>
    </row>
    <row r="339">
      <c r="D339" s="2" t="n"/>
      <c r="F339" s="6">
        <f>IF(E339&lt;&gt;"",E339*7.5,"")</f>
        <v/>
      </c>
      <c r="H339" s="2" t="n"/>
    </row>
    <row r="340">
      <c r="D340" s="2" t="n"/>
      <c r="F340" s="6">
        <f>IF(E340&lt;&gt;"",E340*7.5,"")</f>
        <v/>
      </c>
      <c r="H340" s="2" t="n"/>
    </row>
    <row r="341">
      <c r="D341" s="2" t="n"/>
      <c r="F341" s="6">
        <f>IF(E341&lt;&gt;"",E341*7.5,"")</f>
        <v/>
      </c>
      <c r="H341" s="2" t="n"/>
    </row>
    <row r="342">
      <c r="D342" s="2" t="n"/>
      <c r="F342" s="6">
        <f>IF(E342&lt;&gt;"",E342*7.5,"")</f>
        <v/>
      </c>
      <c r="H342" s="2" t="n"/>
    </row>
    <row r="343">
      <c r="D343" s="2" t="n"/>
      <c r="F343" s="6">
        <f>IF(E343&lt;&gt;"",E343*7.5,"")</f>
        <v/>
      </c>
      <c r="H343" s="2" t="n"/>
    </row>
    <row r="344">
      <c r="D344" s="2" t="n"/>
      <c r="F344" s="6">
        <f>IF(E344&lt;&gt;"",E344*7.5,"")</f>
        <v/>
      </c>
      <c r="H344" s="2" t="n"/>
    </row>
    <row r="345">
      <c r="D345" s="2" t="n"/>
      <c r="F345" s="6">
        <f>IF(E345&lt;&gt;"",E345*7.5,"")</f>
        <v/>
      </c>
      <c r="H345" s="2" t="n"/>
    </row>
    <row r="346">
      <c r="D346" s="2" t="n"/>
      <c r="F346" s="6">
        <f>IF(E346&lt;&gt;"",E346*7.5,"")</f>
        <v/>
      </c>
      <c r="H346" s="2" t="n"/>
    </row>
    <row r="347">
      <c r="D347" s="2" t="n"/>
      <c r="F347" s="6">
        <f>IF(E347&lt;&gt;"",E347*7.5,"")</f>
        <v/>
      </c>
      <c r="H347" s="2" t="n"/>
    </row>
    <row r="348">
      <c r="D348" s="2" t="n"/>
      <c r="F348" s="6">
        <f>IF(E348&lt;&gt;"",E348*7.5,"")</f>
        <v/>
      </c>
      <c r="H348" s="2" t="n"/>
    </row>
    <row r="349">
      <c r="D349" s="2" t="n"/>
      <c r="F349" s="6">
        <f>IF(E349&lt;&gt;"",E349*7.5,"")</f>
        <v/>
      </c>
      <c r="H349" s="2" t="n"/>
    </row>
    <row r="350">
      <c r="D350" s="2" t="n"/>
      <c r="F350" s="6">
        <f>IF(E350&lt;&gt;"",E350*7.5,"")</f>
        <v/>
      </c>
      <c r="H350" s="2" t="n"/>
    </row>
    <row r="351">
      <c r="D351" s="2" t="n"/>
      <c r="F351" s="6">
        <f>IF(E351&lt;&gt;"",E351*7.5,"")</f>
        <v/>
      </c>
      <c r="H351" s="2" t="n"/>
    </row>
    <row r="352">
      <c r="D352" s="2" t="n"/>
      <c r="F352" s="6">
        <f>IF(E352&lt;&gt;"",E352*7.5,"")</f>
        <v/>
      </c>
      <c r="H352" s="2" t="n"/>
    </row>
    <row r="353">
      <c r="D353" s="2" t="n"/>
      <c r="F353" s="6">
        <f>IF(E353&lt;&gt;"",E353*7.5,"")</f>
        <v/>
      </c>
      <c r="H353" s="2" t="n"/>
    </row>
    <row r="354">
      <c r="D354" s="2" t="n"/>
      <c r="F354" s="6">
        <f>IF(E354&lt;&gt;"",E354*7.5,"")</f>
        <v/>
      </c>
      <c r="H354" s="2" t="n"/>
    </row>
    <row r="355">
      <c r="D355" s="2" t="n"/>
      <c r="F355" s="6">
        <f>IF(E355&lt;&gt;"",E355*7.5,"")</f>
        <v/>
      </c>
      <c r="H355" s="2" t="n"/>
    </row>
    <row r="356">
      <c r="D356" s="2" t="n"/>
      <c r="F356" s="6">
        <f>IF(E356&lt;&gt;"",E356*7.5,"")</f>
        <v/>
      </c>
      <c r="H356" s="2" t="n"/>
    </row>
    <row r="357">
      <c r="D357" s="2" t="n"/>
      <c r="F357" s="6">
        <f>IF(E357&lt;&gt;"",E357*7.5,"")</f>
        <v/>
      </c>
      <c r="H357" s="2" t="n"/>
    </row>
    <row r="358">
      <c r="D358" s="2" t="n"/>
      <c r="F358" s="6">
        <f>IF(E358&lt;&gt;"",E358*7.5,"")</f>
        <v/>
      </c>
      <c r="H358" s="2" t="n"/>
    </row>
    <row r="359">
      <c r="D359" s="2" t="n"/>
      <c r="F359" s="6">
        <f>IF(E359&lt;&gt;"",E359*7.5,"")</f>
        <v/>
      </c>
      <c r="H359" s="2" t="n"/>
    </row>
    <row r="360">
      <c r="D360" s="2" t="n"/>
      <c r="F360" s="6">
        <f>IF(E360&lt;&gt;"",E360*7.5,"")</f>
        <v/>
      </c>
      <c r="H360" s="2" t="n"/>
    </row>
    <row r="361">
      <c r="D361" s="2" t="n"/>
      <c r="F361" s="6">
        <f>IF(E361&lt;&gt;"",E361*7.5,"")</f>
        <v/>
      </c>
      <c r="H361" s="2" t="n"/>
    </row>
    <row r="362">
      <c r="D362" s="2" t="n"/>
      <c r="F362" s="6">
        <f>IF(E362&lt;&gt;"",E362*7.5,"")</f>
        <v/>
      </c>
      <c r="H362" s="2" t="n"/>
    </row>
    <row r="363">
      <c r="D363" s="2" t="n"/>
      <c r="F363" s="6">
        <f>IF(E363&lt;&gt;"",E363*7.5,"")</f>
        <v/>
      </c>
      <c r="H363" s="2" t="n"/>
    </row>
    <row r="364">
      <c r="D364" s="2" t="n"/>
      <c r="F364" s="6">
        <f>IF(E364&lt;&gt;"",E364*7.5,"")</f>
        <v/>
      </c>
      <c r="H364" s="2" t="n"/>
    </row>
    <row r="365">
      <c r="D365" s="2" t="n"/>
      <c r="F365" s="6">
        <f>IF(E365&lt;&gt;"",E365*7.5,"")</f>
        <v/>
      </c>
      <c r="H365" s="2" t="n"/>
    </row>
    <row r="366">
      <c r="D366" s="2" t="n"/>
      <c r="F366" s="6">
        <f>IF(E366&lt;&gt;"",E366*7.5,"")</f>
        <v/>
      </c>
      <c r="H366" s="2" t="n"/>
    </row>
    <row r="367">
      <c r="D367" s="2" t="n"/>
      <c r="F367" s="6">
        <f>IF(E367&lt;&gt;"",E367*7.5,"")</f>
        <v/>
      </c>
      <c r="H367" s="2" t="n"/>
    </row>
    <row r="368">
      <c r="D368" s="2" t="n"/>
      <c r="F368" s="6">
        <f>IF(E368&lt;&gt;"",E368*7.5,"")</f>
        <v/>
      </c>
      <c r="H368" s="2" t="n"/>
    </row>
    <row r="369">
      <c r="D369" s="2" t="n"/>
      <c r="F369" s="6">
        <f>IF(E369&lt;&gt;"",E369*7.5,"")</f>
        <v/>
      </c>
      <c r="H369" s="2" t="n"/>
    </row>
    <row r="370">
      <c r="D370" s="2" t="n"/>
      <c r="F370" s="6">
        <f>IF(E370&lt;&gt;"",E370*7.5,"")</f>
        <v/>
      </c>
      <c r="H370" s="2" t="n"/>
    </row>
    <row r="371">
      <c r="D371" s="2" t="n"/>
      <c r="F371" s="6">
        <f>IF(E371&lt;&gt;"",E371*7.5,"")</f>
        <v/>
      </c>
      <c r="H371" s="2" t="n"/>
    </row>
    <row r="372">
      <c r="D372" s="2" t="n"/>
      <c r="F372" s="6">
        <f>IF(E372&lt;&gt;"",E372*7.5,"")</f>
        <v/>
      </c>
      <c r="H372" s="2" t="n"/>
    </row>
    <row r="373">
      <c r="D373" s="2" t="n"/>
      <c r="F373" s="6">
        <f>IF(E373&lt;&gt;"",E373*7.5,"")</f>
        <v/>
      </c>
      <c r="H373" s="2" t="n"/>
    </row>
    <row r="374">
      <c r="D374" s="2" t="n"/>
      <c r="F374" s="6">
        <f>IF(E374&lt;&gt;"",E374*7.5,"")</f>
        <v/>
      </c>
      <c r="H374" s="2" t="n"/>
    </row>
    <row r="375">
      <c r="D375" s="2" t="n"/>
      <c r="F375" s="6">
        <f>IF(E375&lt;&gt;"",E375*7.5,"")</f>
        <v/>
      </c>
      <c r="H375" s="2" t="n"/>
    </row>
    <row r="376">
      <c r="D376" s="2" t="n"/>
      <c r="F376" s="6">
        <f>IF(E376&lt;&gt;"",E376*7.5,"")</f>
        <v/>
      </c>
      <c r="H376" s="2" t="n"/>
    </row>
    <row r="377">
      <c r="D377" s="2" t="n"/>
      <c r="F377" s="6">
        <f>IF(E377&lt;&gt;"",E377*7.5,"")</f>
        <v/>
      </c>
      <c r="H377" s="2" t="n"/>
    </row>
    <row r="378">
      <c r="D378" s="2" t="n"/>
      <c r="F378" s="6">
        <f>IF(E378&lt;&gt;"",E378*7.5,"")</f>
        <v/>
      </c>
      <c r="H378" s="2" t="n"/>
    </row>
    <row r="379">
      <c r="D379" s="2" t="n"/>
      <c r="F379" s="6">
        <f>IF(E379&lt;&gt;"",E379*7.5,"")</f>
        <v/>
      </c>
      <c r="H379" s="2" t="n"/>
    </row>
    <row r="380">
      <c r="D380" s="2" t="n"/>
      <c r="F380" s="6">
        <f>IF(E380&lt;&gt;"",E380*7.5,"")</f>
        <v/>
      </c>
      <c r="H380" s="2" t="n"/>
    </row>
    <row r="381">
      <c r="D381" s="2" t="n"/>
      <c r="F381" s="6">
        <f>IF(E381&lt;&gt;"",E381*7.5,"")</f>
        <v/>
      </c>
      <c r="H381" s="2" t="n"/>
    </row>
    <row r="382">
      <c r="D382" s="2" t="n"/>
      <c r="F382" s="6">
        <f>IF(E382&lt;&gt;"",E382*7.5,"")</f>
        <v/>
      </c>
      <c r="H382" s="2" t="n"/>
    </row>
    <row r="383">
      <c r="D383" s="2" t="n"/>
      <c r="F383" s="6">
        <f>IF(E383&lt;&gt;"",E383*7.5,"")</f>
        <v/>
      </c>
      <c r="H383" s="2" t="n"/>
    </row>
    <row r="384">
      <c r="D384" s="2" t="n"/>
      <c r="F384" s="6">
        <f>IF(E384&lt;&gt;"",E384*7.5,"")</f>
        <v/>
      </c>
      <c r="H384" s="2" t="n"/>
    </row>
    <row r="385">
      <c r="D385" s="2" t="n"/>
      <c r="F385" s="6">
        <f>IF(E385&lt;&gt;"",E385*7.5,"")</f>
        <v/>
      </c>
      <c r="H385" s="2" t="n"/>
    </row>
    <row r="386">
      <c r="D386" s="2" t="n"/>
      <c r="F386" s="6">
        <f>IF(E386&lt;&gt;"",E386*7.5,"")</f>
        <v/>
      </c>
      <c r="H386" s="2" t="n"/>
    </row>
    <row r="387">
      <c r="D387" s="2" t="n"/>
      <c r="F387" s="6">
        <f>IF(E387&lt;&gt;"",E387*7.5,"")</f>
        <v/>
      </c>
      <c r="H387" s="2" t="n"/>
    </row>
    <row r="388">
      <c r="D388" s="2" t="n"/>
      <c r="F388" s="6">
        <f>IF(E388&lt;&gt;"",E388*7.5,"")</f>
        <v/>
      </c>
      <c r="H388" s="2" t="n"/>
    </row>
    <row r="389">
      <c r="D389" s="2" t="n"/>
      <c r="F389" s="6">
        <f>IF(E389&lt;&gt;"",E389*7.5,"")</f>
        <v/>
      </c>
      <c r="H389" s="2" t="n"/>
    </row>
    <row r="390">
      <c r="D390" s="2" t="n"/>
      <c r="F390" s="6">
        <f>IF(E390&lt;&gt;"",E390*7.5,"")</f>
        <v/>
      </c>
      <c r="H390" s="2" t="n"/>
    </row>
    <row r="391">
      <c r="D391" s="2" t="n"/>
      <c r="F391" s="6">
        <f>IF(E391&lt;&gt;"",E391*7.5,"")</f>
        <v/>
      </c>
      <c r="H391" s="2" t="n"/>
    </row>
    <row r="392">
      <c r="D392" s="2" t="n"/>
      <c r="F392" s="6">
        <f>IF(E392&lt;&gt;"",E392*7.5,"")</f>
        <v/>
      </c>
      <c r="H392" s="2" t="n"/>
    </row>
    <row r="393">
      <c r="D393" s="2" t="n"/>
      <c r="F393" s="6">
        <f>IF(E393&lt;&gt;"",E393*7.5,"")</f>
        <v/>
      </c>
      <c r="H393" s="2" t="n"/>
    </row>
    <row r="394">
      <c r="D394" s="2" t="n"/>
      <c r="F394" s="6">
        <f>IF(E394&lt;&gt;"",E394*7.5,"")</f>
        <v/>
      </c>
      <c r="H394" s="2" t="n"/>
    </row>
    <row r="395">
      <c r="D395" s="2" t="n"/>
      <c r="F395" s="6">
        <f>IF(E395&lt;&gt;"",E395*7.5,"")</f>
        <v/>
      </c>
      <c r="H395" s="2" t="n"/>
    </row>
    <row r="396">
      <c r="D396" s="2" t="n"/>
      <c r="F396" s="6">
        <f>IF(E396&lt;&gt;"",E396*7.5,"")</f>
        <v/>
      </c>
      <c r="H396" s="2" t="n"/>
    </row>
    <row r="397">
      <c r="D397" s="2" t="n"/>
      <c r="F397" s="6">
        <f>IF(E397&lt;&gt;"",E397*7.5,"")</f>
        <v/>
      </c>
      <c r="H397" s="2" t="n"/>
    </row>
    <row r="398">
      <c r="D398" s="2" t="n"/>
      <c r="F398" s="6">
        <f>IF(E398&lt;&gt;"",E398*7.5,"")</f>
        <v/>
      </c>
      <c r="H398" s="2" t="n"/>
    </row>
    <row r="399">
      <c r="D399" s="2" t="n"/>
      <c r="F399" s="6">
        <f>IF(E399&lt;&gt;"",E399*7.5,"")</f>
        <v/>
      </c>
      <c r="H399" s="2" t="n"/>
    </row>
    <row r="400">
      <c r="D400" s="2" t="n"/>
      <c r="F400" s="6">
        <f>IF(E400&lt;&gt;"",E400*7.5,"")</f>
        <v/>
      </c>
      <c r="H400" s="2" t="n"/>
    </row>
    <row r="401">
      <c r="D401" s="2" t="n"/>
      <c r="F401" s="6">
        <f>IF(E401&lt;&gt;"",E401*7.5,"")</f>
        <v/>
      </c>
      <c r="H401" s="2" t="n"/>
    </row>
    <row r="402">
      <c r="D402" s="2" t="n"/>
      <c r="F402" s="6">
        <f>IF(E402&lt;&gt;"",E402*7.5,"")</f>
        <v/>
      </c>
      <c r="H402" s="2" t="n"/>
    </row>
    <row r="403">
      <c r="D403" s="2" t="n"/>
      <c r="F403" s="6">
        <f>IF(E403&lt;&gt;"",E403*7.5,"")</f>
        <v/>
      </c>
      <c r="H403" s="2" t="n"/>
    </row>
    <row r="404">
      <c r="D404" s="2" t="n"/>
      <c r="F404" s="6">
        <f>IF(E404&lt;&gt;"",E404*7.5,"")</f>
        <v/>
      </c>
      <c r="H404" s="2" t="n"/>
    </row>
    <row r="405">
      <c r="D405" s="2" t="n"/>
      <c r="F405" s="6">
        <f>IF(E405&lt;&gt;"",E405*7.5,"")</f>
        <v/>
      </c>
      <c r="H405" s="2" t="n"/>
    </row>
    <row r="406">
      <c r="D406" s="2" t="n"/>
      <c r="F406" s="6">
        <f>IF(E406&lt;&gt;"",E406*7.5,"")</f>
        <v/>
      </c>
      <c r="H406" s="2" t="n"/>
    </row>
    <row r="407">
      <c r="D407" s="2" t="n"/>
      <c r="F407" s="6">
        <f>IF(E407&lt;&gt;"",E407*7.5,"")</f>
        <v/>
      </c>
      <c r="H407" s="2" t="n"/>
    </row>
    <row r="408">
      <c r="D408" s="2" t="n"/>
      <c r="F408" s="6">
        <f>IF(E408&lt;&gt;"",E408*7.5,"")</f>
        <v/>
      </c>
      <c r="H408" s="2" t="n"/>
    </row>
    <row r="409">
      <c r="D409" s="2" t="n"/>
      <c r="F409" s="6">
        <f>IF(E409&lt;&gt;"",E409*7.5,"")</f>
        <v/>
      </c>
      <c r="H409" s="2" t="n"/>
    </row>
    <row r="410">
      <c r="D410" s="2" t="n"/>
      <c r="F410" s="6">
        <f>IF(E410&lt;&gt;"",E410*7.5,"")</f>
        <v/>
      </c>
      <c r="H410" s="2" t="n"/>
    </row>
    <row r="411">
      <c r="D411" s="2" t="n"/>
      <c r="F411" s="6">
        <f>IF(E411&lt;&gt;"",E411*7.5,"")</f>
        <v/>
      </c>
      <c r="H411" s="2" t="n"/>
    </row>
    <row r="412">
      <c r="D412" s="2" t="n"/>
      <c r="F412" s="6">
        <f>IF(E412&lt;&gt;"",E412*7.5,"")</f>
        <v/>
      </c>
      <c r="H412" s="2" t="n"/>
    </row>
    <row r="413">
      <c r="D413" s="2" t="n"/>
      <c r="F413" s="6">
        <f>IF(E413&lt;&gt;"",E413*7.5,"")</f>
        <v/>
      </c>
      <c r="H413" s="2" t="n"/>
    </row>
    <row r="414">
      <c r="D414" s="2" t="n"/>
      <c r="F414" s="6">
        <f>IF(E414&lt;&gt;"",E414*7.5,"")</f>
        <v/>
      </c>
      <c r="H414" s="2" t="n"/>
    </row>
    <row r="415">
      <c r="D415" s="2" t="n"/>
      <c r="F415" s="6">
        <f>IF(E415&lt;&gt;"",E415*7.5,"")</f>
        <v/>
      </c>
      <c r="H415" s="2" t="n"/>
    </row>
    <row r="416">
      <c r="D416" s="2" t="n"/>
      <c r="F416" s="6">
        <f>IF(E416&lt;&gt;"",E416*7.5,"")</f>
        <v/>
      </c>
      <c r="H416" s="2" t="n"/>
    </row>
    <row r="417">
      <c r="D417" s="2" t="n"/>
      <c r="F417" s="6">
        <f>IF(E417&lt;&gt;"",E417*7.5,"")</f>
        <v/>
      </c>
      <c r="H417" s="2" t="n"/>
    </row>
    <row r="418">
      <c r="D418" s="2" t="n"/>
      <c r="F418" s="6">
        <f>IF(E418&lt;&gt;"",E418*7.5,"")</f>
        <v/>
      </c>
      <c r="H418" s="2" t="n"/>
    </row>
    <row r="419">
      <c r="D419" s="2" t="n"/>
      <c r="F419" s="6">
        <f>IF(E419&lt;&gt;"",E419*7.5,"")</f>
        <v/>
      </c>
      <c r="H419" s="2" t="n"/>
    </row>
    <row r="420">
      <c r="D420" s="2" t="n"/>
      <c r="F420" s="6">
        <f>IF(E420&lt;&gt;"",E420*7.5,"")</f>
        <v/>
      </c>
      <c r="H420" s="2" t="n"/>
    </row>
    <row r="421">
      <c r="D421" s="2" t="n"/>
      <c r="F421" s="6">
        <f>IF(E421&lt;&gt;"",E421*7.5,"")</f>
        <v/>
      </c>
      <c r="H421" s="2" t="n"/>
    </row>
    <row r="422">
      <c r="D422" s="2" t="n"/>
      <c r="F422" s="6">
        <f>IF(E422&lt;&gt;"",E422*7.5,"")</f>
        <v/>
      </c>
      <c r="H422" s="2" t="n"/>
    </row>
    <row r="423">
      <c r="D423" s="2" t="n"/>
      <c r="F423" s="6">
        <f>IF(E423&lt;&gt;"",E423*7.5,"")</f>
        <v/>
      </c>
      <c r="H423" s="2" t="n"/>
    </row>
    <row r="424">
      <c r="D424" s="2" t="n"/>
      <c r="F424" s="6">
        <f>IF(E424&lt;&gt;"",E424*7.5,"")</f>
        <v/>
      </c>
      <c r="H424" s="2" t="n"/>
    </row>
    <row r="425">
      <c r="D425" s="2" t="n"/>
      <c r="F425" s="6">
        <f>IF(E425&lt;&gt;"",E425*7.5,"")</f>
        <v/>
      </c>
      <c r="H425" s="2" t="n"/>
    </row>
    <row r="426">
      <c r="D426" s="2" t="n"/>
      <c r="F426" s="6">
        <f>IF(E426&lt;&gt;"",E426*7.5,"")</f>
        <v/>
      </c>
      <c r="H426" s="2" t="n"/>
    </row>
    <row r="427">
      <c r="D427" s="2" t="n"/>
      <c r="F427" s="6">
        <f>IF(E427&lt;&gt;"",E427*7.5,"")</f>
        <v/>
      </c>
      <c r="H427" s="2" t="n"/>
    </row>
    <row r="428">
      <c r="D428" s="2" t="n"/>
      <c r="F428" s="6">
        <f>IF(E428&lt;&gt;"",E428*7.5,"")</f>
        <v/>
      </c>
      <c r="H428" s="2" t="n"/>
    </row>
    <row r="429">
      <c r="D429" s="2" t="n"/>
      <c r="F429" s="6">
        <f>IF(E429&lt;&gt;"",E429*7.5,"")</f>
        <v/>
      </c>
      <c r="H429" s="2" t="n"/>
    </row>
    <row r="430">
      <c r="D430" s="2" t="n"/>
      <c r="F430" s="6">
        <f>IF(E430&lt;&gt;"",E430*7.5,"")</f>
        <v/>
      </c>
      <c r="H430" s="2" t="n"/>
    </row>
    <row r="431">
      <c r="D431" s="2" t="n"/>
      <c r="F431" s="6">
        <f>IF(E431&lt;&gt;"",E431*7.5,"")</f>
        <v/>
      </c>
      <c r="H431" s="2" t="n"/>
    </row>
    <row r="432">
      <c r="D432" s="2" t="n"/>
      <c r="F432" s="6">
        <f>IF(E432&lt;&gt;"",E432*7.5,"")</f>
        <v/>
      </c>
      <c r="H432" s="2" t="n"/>
    </row>
    <row r="433">
      <c r="D433" s="2" t="n"/>
      <c r="F433" s="6">
        <f>IF(E433&lt;&gt;"",E433*7.5,"")</f>
        <v/>
      </c>
      <c r="H433" s="2" t="n"/>
    </row>
    <row r="434">
      <c r="D434" s="2" t="n"/>
      <c r="F434" s="6">
        <f>IF(E434&lt;&gt;"",E434*7.5,"")</f>
        <v/>
      </c>
      <c r="H434" s="2" t="n"/>
    </row>
    <row r="435">
      <c r="D435" s="2" t="n"/>
      <c r="F435" s="6">
        <f>IF(E435&lt;&gt;"",E435*7.5,"")</f>
        <v/>
      </c>
      <c r="H435" s="2" t="n"/>
    </row>
    <row r="436">
      <c r="D436" s="2" t="n"/>
      <c r="F436" s="6">
        <f>IF(E436&lt;&gt;"",E436*7.5,"")</f>
        <v/>
      </c>
      <c r="H436" s="2" t="n"/>
    </row>
    <row r="437">
      <c r="D437" s="2" t="n"/>
      <c r="F437" s="6">
        <f>IF(E437&lt;&gt;"",E437*7.5,"")</f>
        <v/>
      </c>
      <c r="H437" s="2" t="n"/>
    </row>
    <row r="438">
      <c r="D438" s="2" t="n"/>
      <c r="F438" s="6">
        <f>IF(E438&lt;&gt;"",E438*7.5,"")</f>
        <v/>
      </c>
      <c r="H438" s="2" t="n"/>
    </row>
    <row r="439">
      <c r="D439" s="2" t="n"/>
      <c r="F439" s="6">
        <f>IF(E439&lt;&gt;"",E439*7.5,"")</f>
        <v/>
      </c>
      <c r="H439" s="2" t="n"/>
    </row>
    <row r="440">
      <c r="D440" s="2" t="n"/>
      <c r="F440" s="6">
        <f>IF(E440&lt;&gt;"",E440*7.5,"")</f>
        <v/>
      </c>
      <c r="H440" s="2" t="n"/>
    </row>
    <row r="441">
      <c r="D441" s="2" t="n"/>
      <c r="F441" s="6">
        <f>IF(E441&lt;&gt;"",E441*7.5,"")</f>
        <v/>
      </c>
      <c r="H441" s="2" t="n"/>
    </row>
    <row r="442">
      <c r="D442" s="2" t="n"/>
      <c r="F442" s="6">
        <f>IF(E442&lt;&gt;"",E442*7.5,"")</f>
        <v/>
      </c>
      <c r="H442" s="2" t="n"/>
    </row>
    <row r="443">
      <c r="D443" s="2" t="n"/>
      <c r="F443" s="6">
        <f>IF(E443&lt;&gt;"",E443*7.5,"")</f>
        <v/>
      </c>
      <c r="H443" s="2" t="n"/>
    </row>
    <row r="444">
      <c r="D444" s="2" t="n"/>
      <c r="F444" s="6">
        <f>IF(E444&lt;&gt;"",E444*7.5,"")</f>
        <v/>
      </c>
      <c r="H444" s="2" t="n"/>
    </row>
    <row r="445">
      <c r="D445" s="2" t="n"/>
      <c r="F445" s="6">
        <f>IF(E445&lt;&gt;"",E445*7.5,"")</f>
        <v/>
      </c>
      <c r="H445" s="2" t="n"/>
    </row>
    <row r="446">
      <c r="D446" s="2" t="n"/>
      <c r="F446" s="6">
        <f>IF(E446&lt;&gt;"",E446*7.5,"")</f>
        <v/>
      </c>
      <c r="H446" s="2" t="n"/>
    </row>
    <row r="447">
      <c r="D447" s="2" t="n"/>
      <c r="F447" s="6">
        <f>IF(E447&lt;&gt;"",E447*7.5,"")</f>
        <v/>
      </c>
      <c r="H447" s="2" t="n"/>
    </row>
    <row r="448">
      <c r="D448" s="2" t="n"/>
      <c r="F448" s="6">
        <f>IF(E448&lt;&gt;"",E448*7.5,"")</f>
        <v/>
      </c>
      <c r="H448" s="2" t="n"/>
    </row>
    <row r="449">
      <c r="D449" s="2" t="n"/>
      <c r="F449" s="6">
        <f>IF(E449&lt;&gt;"",E449*7.5,"")</f>
        <v/>
      </c>
      <c r="H449" s="2" t="n"/>
    </row>
    <row r="450">
      <c r="D450" s="2" t="n"/>
      <c r="F450" s="6">
        <f>IF(E450&lt;&gt;"",E450*7.5,"")</f>
        <v/>
      </c>
      <c r="H450" s="2" t="n"/>
    </row>
    <row r="451">
      <c r="D451" s="2" t="n"/>
      <c r="F451" s="6">
        <f>IF(E451&lt;&gt;"",E451*7.5,"")</f>
        <v/>
      </c>
      <c r="H451" s="2" t="n"/>
    </row>
    <row r="452">
      <c r="D452" s="2" t="n"/>
      <c r="F452" s="6">
        <f>IF(E452&lt;&gt;"",E452*7.5,"")</f>
        <v/>
      </c>
      <c r="H452" s="2" t="n"/>
    </row>
    <row r="453">
      <c r="D453" s="2" t="n"/>
      <c r="F453" s="6">
        <f>IF(E453&lt;&gt;"",E453*7.5,"")</f>
        <v/>
      </c>
      <c r="H453" s="2" t="n"/>
    </row>
    <row r="454">
      <c r="D454" s="2" t="n"/>
      <c r="F454" s="6">
        <f>IF(E454&lt;&gt;"",E454*7.5,"")</f>
        <v/>
      </c>
      <c r="H454" s="2" t="n"/>
    </row>
    <row r="455">
      <c r="D455" s="2" t="n"/>
      <c r="F455" s="6">
        <f>IF(E455&lt;&gt;"",E455*7.5,"")</f>
        <v/>
      </c>
      <c r="H455" s="2" t="n"/>
    </row>
    <row r="456">
      <c r="D456" s="2" t="n"/>
      <c r="F456" s="6">
        <f>IF(E456&lt;&gt;"",E456*7.5,"")</f>
        <v/>
      </c>
      <c r="H456" s="2" t="n"/>
    </row>
    <row r="457">
      <c r="D457" s="2" t="n"/>
      <c r="F457" s="6">
        <f>IF(E457&lt;&gt;"",E457*7.5,"")</f>
        <v/>
      </c>
      <c r="H457" s="2" t="n"/>
    </row>
    <row r="458">
      <c r="D458" s="2" t="n"/>
      <c r="F458" s="6">
        <f>IF(E458&lt;&gt;"",E458*7.5,"")</f>
        <v/>
      </c>
      <c r="H458" s="2" t="n"/>
    </row>
    <row r="459">
      <c r="D459" s="2" t="n"/>
      <c r="F459" s="6">
        <f>IF(E459&lt;&gt;"",E459*7.5,"")</f>
        <v/>
      </c>
      <c r="H459" s="2" t="n"/>
    </row>
    <row r="460">
      <c r="D460" s="2" t="n"/>
      <c r="F460" s="6">
        <f>IF(E460&lt;&gt;"",E460*7.5,"")</f>
        <v/>
      </c>
      <c r="H460" s="2" t="n"/>
    </row>
    <row r="461">
      <c r="D461" s="2" t="n"/>
      <c r="F461" s="6">
        <f>IF(E461&lt;&gt;"",E461*7.5,"")</f>
        <v/>
      </c>
      <c r="H461" s="2" t="n"/>
    </row>
    <row r="462">
      <c r="D462" s="2" t="n"/>
      <c r="F462" s="6">
        <f>IF(E462&lt;&gt;"",E462*7.5,"")</f>
        <v/>
      </c>
      <c r="H462" s="2" t="n"/>
    </row>
    <row r="463">
      <c r="D463" s="2" t="n"/>
      <c r="F463" s="6">
        <f>IF(E463&lt;&gt;"",E463*7.5,"")</f>
        <v/>
      </c>
      <c r="H463" s="2" t="n"/>
    </row>
    <row r="464">
      <c r="D464" s="2" t="n"/>
      <c r="F464" s="6">
        <f>IF(E464&lt;&gt;"",E464*7.5,"")</f>
        <v/>
      </c>
      <c r="H464" s="2" t="n"/>
    </row>
    <row r="465">
      <c r="D465" s="2" t="n"/>
      <c r="F465" s="6">
        <f>IF(E465&lt;&gt;"",E465*7.5,"")</f>
        <v/>
      </c>
      <c r="H465" s="2" t="n"/>
    </row>
    <row r="466">
      <c r="D466" s="2" t="n"/>
      <c r="F466" s="6">
        <f>IF(E466&lt;&gt;"",E466*7.5,"")</f>
        <v/>
      </c>
      <c r="H466" s="2" t="n"/>
    </row>
    <row r="467">
      <c r="D467" s="2" t="n"/>
      <c r="F467" s="6">
        <f>IF(E467&lt;&gt;"",E467*7.5,"")</f>
        <v/>
      </c>
      <c r="H467" s="2" t="n"/>
    </row>
    <row r="468">
      <c r="D468" s="2" t="n"/>
      <c r="F468" s="6">
        <f>IF(E468&lt;&gt;"",E468*7.5,"")</f>
        <v/>
      </c>
      <c r="H468" s="2" t="n"/>
    </row>
    <row r="469">
      <c r="D469" s="2" t="n"/>
      <c r="F469" s="6">
        <f>IF(E469&lt;&gt;"",E469*7.5,"")</f>
        <v/>
      </c>
      <c r="H469" s="2" t="n"/>
    </row>
    <row r="470">
      <c r="D470" s="2" t="n"/>
      <c r="F470" s="6">
        <f>IF(E470&lt;&gt;"",E470*7.5,"")</f>
        <v/>
      </c>
      <c r="H470" s="2" t="n"/>
    </row>
    <row r="471">
      <c r="D471" s="2" t="n"/>
      <c r="F471" s="6">
        <f>IF(E471&lt;&gt;"",E471*7.5,"")</f>
        <v/>
      </c>
      <c r="H471" s="2" t="n"/>
    </row>
    <row r="472">
      <c r="D472" s="2" t="n"/>
      <c r="F472" s="6">
        <f>IF(E472&lt;&gt;"",E472*7.5,"")</f>
        <v/>
      </c>
      <c r="H472" s="2" t="n"/>
    </row>
    <row r="473">
      <c r="D473" s="2" t="n"/>
      <c r="F473" s="6">
        <f>IF(E473&lt;&gt;"",E473*7.5,"")</f>
        <v/>
      </c>
      <c r="H473" s="2" t="n"/>
    </row>
    <row r="474">
      <c r="D474" s="2" t="n"/>
      <c r="F474" s="6">
        <f>IF(E474&lt;&gt;"",E474*7.5,"")</f>
        <v/>
      </c>
      <c r="H474" s="2" t="n"/>
    </row>
    <row r="475">
      <c r="D475" s="2" t="n"/>
      <c r="F475" s="6">
        <f>IF(E475&lt;&gt;"",E475*7.5,"")</f>
        <v/>
      </c>
      <c r="H475" s="2" t="n"/>
    </row>
    <row r="476">
      <c r="D476" s="2" t="n"/>
      <c r="F476" s="6">
        <f>IF(E476&lt;&gt;"",E476*7.5,"")</f>
        <v/>
      </c>
      <c r="H476" s="2" t="n"/>
    </row>
    <row r="477">
      <c r="D477" s="2" t="n"/>
      <c r="F477" s="6">
        <f>IF(E477&lt;&gt;"",E477*7.5,"")</f>
        <v/>
      </c>
      <c r="H477" s="2" t="n"/>
    </row>
    <row r="478">
      <c r="D478" s="2" t="n"/>
      <c r="F478" s="6">
        <f>IF(E478&lt;&gt;"",E478*7.5,"")</f>
        <v/>
      </c>
      <c r="H478" s="2" t="n"/>
    </row>
    <row r="479">
      <c r="D479" s="2" t="n"/>
      <c r="F479" s="6">
        <f>IF(E479&lt;&gt;"",E479*7.5,"")</f>
        <v/>
      </c>
      <c r="H479" s="2" t="n"/>
    </row>
    <row r="480">
      <c r="D480" s="2" t="n"/>
      <c r="F480" s="6">
        <f>IF(E480&lt;&gt;"",E480*7.5,"")</f>
        <v/>
      </c>
      <c r="H480" s="2" t="n"/>
    </row>
    <row r="481">
      <c r="D481" s="2" t="n"/>
      <c r="F481" s="6">
        <f>IF(E481&lt;&gt;"",E481*7.5,"")</f>
        <v/>
      </c>
      <c r="H481" s="2" t="n"/>
    </row>
    <row r="482">
      <c r="D482" s="2" t="n"/>
      <c r="F482" s="6">
        <f>IF(E482&lt;&gt;"",E482*7.5,"")</f>
        <v/>
      </c>
      <c r="H482" s="2" t="n"/>
    </row>
    <row r="483">
      <c r="D483" s="2" t="n"/>
      <c r="F483" s="6">
        <f>IF(E483&lt;&gt;"",E483*7.5,"")</f>
        <v/>
      </c>
      <c r="H483" s="2" t="n"/>
    </row>
    <row r="484">
      <c r="D484" s="2" t="n"/>
      <c r="F484" s="6">
        <f>IF(E484&lt;&gt;"",E484*7.5,"")</f>
        <v/>
      </c>
      <c r="H484" s="2" t="n"/>
    </row>
    <row r="485">
      <c r="D485" s="2" t="n"/>
      <c r="F485" s="6">
        <f>IF(E485&lt;&gt;"",E485*7.5,"")</f>
        <v/>
      </c>
      <c r="H485" s="2" t="n"/>
    </row>
    <row r="486">
      <c r="D486" s="2" t="n"/>
      <c r="F486" s="6">
        <f>IF(E486&lt;&gt;"",E486*7.5,"")</f>
        <v/>
      </c>
      <c r="H486" s="2" t="n"/>
    </row>
    <row r="487">
      <c r="D487" s="2" t="n"/>
      <c r="F487" s="6">
        <f>IF(E487&lt;&gt;"",E487*7.5,"")</f>
        <v/>
      </c>
      <c r="H487" s="2" t="n"/>
    </row>
    <row r="488">
      <c r="D488" s="2" t="n"/>
      <c r="F488" s="6">
        <f>IF(E488&lt;&gt;"",E488*7.5,"")</f>
        <v/>
      </c>
      <c r="H488" s="2" t="n"/>
    </row>
    <row r="489">
      <c r="D489" s="2" t="n"/>
      <c r="F489" s="6">
        <f>IF(E489&lt;&gt;"",E489*7.5,"")</f>
        <v/>
      </c>
      <c r="H489" s="2" t="n"/>
    </row>
    <row r="490">
      <c r="D490" s="2" t="n"/>
      <c r="F490" s="6">
        <f>IF(E490&lt;&gt;"",E490*7.5,"")</f>
        <v/>
      </c>
      <c r="H490" s="2" t="n"/>
    </row>
    <row r="491">
      <c r="D491" s="2" t="n"/>
      <c r="F491" s="6">
        <f>IF(E491&lt;&gt;"",E491*7.5,"")</f>
        <v/>
      </c>
      <c r="H491" s="2" t="n"/>
    </row>
    <row r="492">
      <c r="D492" s="2" t="n"/>
      <c r="F492" s="6">
        <f>IF(E492&lt;&gt;"",E492*7.5,"")</f>
        <v/>
      </c>
      <c r="H492" s="2" t="n"/>
    </row>
    <row r="493">
      <c r="D493" s="2" t="n"/>
      <c r="F493" s="6">
        <f>IF(E493&lt;&gt;"",E493*7.5,"")</f>
        <v/>
      </c>
      <c r="H493" s="2" t="n"/>
    </row>
    <row r="494">
      <c r="D494" s="2" t="n"/>
      <c r="F494" s="6">
        <f>IF(E494&lt;&gt;"",E494*7.5,"")</f>
        <v/>
      </c>
      <c r="H494" s="2" t="n"/>
    </row>
    <row r="495">
      <c r="D495" s="2" t="n"/>
      <c r="F495" s="6">
        <f>IF(E495&lt;&gt;"",E495*7.5,"")</f>
        <v/>
      </c>
      <c r="H495" s="2" t="n"/>
    </row>
    <row r="496">
      <c r="D496" s="2" t="n"/>
      <c r="F496" s="6">
        <f>IF(E496&lt;&gt;"",E496*7.5,"")</f>
        <v/>
      </c>
      <c r="H496" s="2" t="n"/>
    </row>
    <row r="497">
      <c r="D497" s="2" t="n"/>
      <c r="F497" s="6">
        <f>IF(E497&lt;&gt;"",E497*7.5,"")</f>
        <v/>
      </c>
      <c r="H497" s="2" t="n"/>
    </row>
    <row r="498">
      <c r="D498" s="2" t="n"/>
      <c r="F498" s="6">
        <f>IF(E498&lt;&gt;"",E498*7.5,"")</f>
        <v/>
      </c>
      <c r="H498" s="2" t="n"/>
    </row>
    <row r="499">
      <c r="D499" s="2" t="n"/>
      <c r="F499" s="6">
        <f>IF(E499&lt;&gt;"",E499*7.5,"")</f>
        <v/>
      </c>
      <c r="H499" s="2" t="n"/>
    </row>
    <row r="500">
      <c r="D500" s="2" t="n"/>
      <c r="F500" s="6">
        <f>IF(E500&lt;&gt;"",E500*7.5,"")</f>
        <v/>
      </c>
      <c r="H500" s="2" t="n"/>
    </row>
    <row r="501">
      <c r="D501" s="2" t="n"/>
      <c r="F501" s="6">
        <f>IF(E501&lt;&gt;"",E501*7.5,"")</f>
        <v/>
      </c>
      <c r="H501" s="2" t="n"/>
    </row>
  </sheetData>
  <dataValidations count="1">
    <dataValidation sqref="G2:G501" showDropDown="0" showInputMessage="0" showErrorMessage="0" allowBlank="1" errorTitle="Invalid Status" error="Please select a valid status" type="list">
      <formula1>"Not Started,In Progress,Done,Late"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0" customWidth="1" min="4" max="4"/>
    <col width="16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Code</t>
        </is>
      </c>
      <c r="B1" s="1" t="inlineStr">
        <is>
          <t>Sub Task</t>
        </is>
      </c>
      <c r="C1" s="1" t="inlineStr">
        <is>
          <t>Father Task</t>
        </is>
      </c>
      <c r="D1" s="1" t="inlineStr">
        <is>
          <t>Project</t>
        </is>
      </c>
      <c r="E1" s="1" t="inlineStr">
        <is>
          <t>Status</t>
        </is>
      </c>
      <c r="F1" s="1" t="inlineStr">
        <is>
          <t>Created Date</t>
        </is>
      </c>
      <c r="G1" s="1" t="inlineStr">
        <is>
          <t>Completed Date</t>
        </is>
      </c>
      <c r="H1" s="1" t="inlineStr">
        <is>
          <t>Notes</t>
        </is>
      </c>
    </row>
    <row r="2">
      <c r="A2" t="inlineStr">
        <is>
          <t>PRJ-1-KPI-1-ST-1</t>
        </is>
      </c>
      <c r="B2" s="5" t="inlineStr">
        <is>
          <t>MCP log</t>
        </is>
      </c>
      <c r="C2" t="inlineStr">
        <is>
          <t>Create MCP tool</t>
        </is>
      </c>
      <c r="D2" t="inlineStr">
        <is>
          <t>AI-AutoTest</t>
        </is>
      </c>
      <c r="E2" t="inlineStr">
        <is>
          <t>Done</t>
        </is>
      </c>
      <c r="F2" s="2" t="n">
        <v>46230</v>
      </c>
      <c r="G2" s="2" t="n">
        <v>46231</v>
      </c>
    </row>
    <row r="3">
      <c r="A3" t="inlineStr">
        <is>
          <t>PRJ-1-KPI-1-ST-2</t>
        </is>
      </c>
      <c r="B3" t="inlineStr">
        <is>
          <t>MCP call api</t>
        </is>
      </c>
      <c r="C3" t="inlineStr">
        <is>
          <t>Create MCP tool</t>
        </is>
      </c>
      <c r="D3" t="inlineStr">
        <is>
          <t>AI-AutoTest</t>
        </is>
      </c>
      <c r="E3" t="inlineStr">
        <is>
          <t>Done</t>
        </is>
      </c>
      <c r="F3" s="2" t="n">
        <v>46230</v>
      </c>
      <c r="G3" s="2" t="n">
        <v>46232</v>
      </c>
    </row>
    <row r="4">
      <c r="A4" t="inlineStr">
        <is>
          <t>PRJ-1-KPI-1-ST-3</t>
        </is>
      </c>
      <c r="B4" t="inlineStr">
        <is>
          <t>MCP running test case</t>
        </is>
      </c>
      <c r="C4" t="inlineStr">
        <is>
          <t>Create MCP tool</t>
        </is>
      </c>
      <c r="D4" t="inlineStr">
        <is>
          <t>AI-AutoTest</t>
        </is>
      </c>
      <c r="E4" t="inlineStr">
        <is>
          <t>Done</t>
        </is>
      </c>
      <c r="F4" s="2" t="n">
        <v>46230</v>
      </c>
      <c r="G4" s="2" t="n">
        <v>46238</v>
      </c>
    </row>
    <row r="5">
      <c r="A5" t="inlineStr">
        <is>
          <t>PRJ-2-KPI-1-ST-1</t>
        </is>
      </c>
      <c r="B5" t="inlineStr">
        <is>
          <t>Subtask 1</t>
        </is>
      </c>
      <c r="C5" t="inlineStr">
        <is>
          <t>Test Feature</t>
        </is>
      </c>
      <c r="D5" t="inlineStr">
        <is>
          <t>Test</t>
        </is>
      </c>
      <c r="E5" t="inlineStr">
        <is>
          <t>Done</t>
        </is>
      </c>
      <c r="F5" s="2" t="n">
        <v>46230</v>
      </c>
      <c r="G5" s="2" t="n">
        <v>46231</v>
      </c>
    </row>
    <row r="6">
      <c r="A6" t="inlineStr">
        <is>
          <t>PRJ-2-KPI-1-ST-2</t>
        </is>
      </c>
      <c r="B6" t="inlineStr">
        <is>
          <t>Subtask 2</t>
        </is>
      </c>
      <c r="C6" t="inlineStr">
        <is>
          <t>Test Feature</t>
        </is>
      </c>
      <c r="D6" t="inlineStr">
        <is>
          <t>Test</t>
        </is>
      </c>
      <c r="E6" t="inlineStr">
        <is>
          <t>Done</t>
        </is>
      </c>
      <c r="F6" s="2" t="n">
        <v>46230</v>
      </c>
      <c r="G6" s="2" t="n">
        <v>46231</v>
      </c>
    </row>
    <row r="7">
      <c r="A7" t="inlineStr">
        <is>
          <t>PRJ-1-KPI-1-ST-4</t>
        </is>
      </c>
      <c r="B7" t="inlineStr">
        <is>
          <t>fix MCP log and MCP game control</t>
        </is>
      </c>
      <c r="C7" t="inlineStr">
        <is>
          <t>Create MCP tool</t>
        </is>
      </c>
      <c r="D7" t="inlineStr">
        <is>
          <t>AI-AutoTest</t>
        </is>
      </c>
      <c r="E7" t="inlineStr">
        <is>
          <t>Done</t>
        </is>
      </c>
      <c r="F7" s="2" t="n">
        <v>46231</v>
      </c>
      <c r="G7" s="2" t="n">
        <v>46238</v>
      </c>
    </row>
    <row r="8">
      <c r="A8" t="inlineStr">
        <is>
          <t>PRJ-3-KPI-1-ST-1</t>
        </is>
      </c>
      <c r="B8" t="inlineStr">
        <is>
          <t>Improve core code</t>
        </is>
      </c>
      <c r="C8" t="inlineStr">
        <is>
          <t>Fix the error api not loadding</t>
        </is>
      </c>
      <c r="D8" t="inlineStr">
        <is>
          <t>web</t>
        </is>
      </c>
      <c r="E8" t="inlineStr">
        <is>
          <t>Done</t>
        </is>
      </c>
      <c r="F8" s="2" t="n">
        <v>46231</v>
      </c>
      <c r="G8" s="2" t="n">
        <v>46231</v>
      </c>
    </row>
    <row r="9">
      <c r="A9" t="inlineStr">
        <is>
          <t>PRJ-1-KPI-1-ST-5</t>
        </is>
      </c>
      <c r="B9" t="inlineStr">
        <is>
          <t>Fix MCP tool airtest</t>
        </is>
      </c>
      <c r="C9" t="inlineStr">
        <is>
          <t>Create MCP tool</t>
        </is>
      </c>
      <c r="D9" t="inlineStr">
        <is>
          <t>AI-Airtest</t>
        </is>
      </c>
      <c r="E9" t="inlineStr">
        <is>
          <t>Done</t>
        </is>
      </c>
      <c r="F9" s="2" t="n">
        <v>46232</v>
      </c>
      <c r="G9" s="2" t="n">
        <v>46238</v>
      </c>
    </row>
    <row r="10">
      <c r="A10" t="inlineStr">
        <is>
          <t>PRJ-3-KPI-2-ST-1</t>
        </is>
      </c>
      <c r="B10" t="inlineStr">
        <is>
          <t>Running checker the UI/UX</t>
        </is>
      </c>
      <c r="C10" t="inlineStr">
        <is>
          <t>Fix the project web running correct</t>
        </is>
      </c>
      <c r="D10" t="inlineStr">
        <is>
          <t>web fix</t>
        </is>
      </c>
      <c r="E10" t="inlineStr">
        <is>
          <t>Done</t>
        </is>
      </c>
      <c r="F10" s="2" t="n">
        <v>46232</v>
      </c>
      <c r="G10" s="2" t="n">
        <v>46245</v>
      </c>
    </row>
    <row r="11">
      <c r="A11" t="inlineStr">
        <is>
          <t>PRJ-1-KPI-1-ST-6</t>
        </is>
      </c>
      <c r="B11" t="inlineStr">
        <is>
          <t>Create MCP Airtest report</t>
        </is>
      </c>
      <c r="C11" t="inlineStr">
        <is>
          <t>Create MCP tool</t>
        </is>
      </c>
      <c r="D11" t="inlineStr">
        <is>
          <t>AI-AutoTest</t>
        </is>
      </c>
      <c r="E11" t="inlineStr">
        <is>
          <t>Done</t>
        </is>
      </c>
      <c r="F11" s="2" t="n">
        <v>46232</v>
      </c>
      <c r="G11" s="2" t="n">
        <v>46238</v>
      </c>
    </row>
    <row r="12">
      <c r="A12" t="inlineStr">
        <is>
          <t>PRJ-1-KPI-2-ST-1</t>
        </is>
      </c>
      <c r="B12" t="inlineStr">
        <is>
          <t>Convert knowledge AI</t>
        </is>
      </c>
      <c r="C12" t="inlineStr">
        <is>
          <t>Prompt AI</t>
        </is>
      </c>
      <c r="D12" t="inlineStr">
        <is>
          <t>AI-AutoTest</t>
        </is>
      </c>
      <c r="E12" t="inlineStr">
        <is>
          <t>Done</t>
        </is>
      </c>
      <c r="F12" s="2" t="n">
        <v>46233</v>
      </c>
      <c r="G12" s="2" t="n">
        <v>46245</v>
      </c>
    </row>
    <row r="13">
      <c r="A13" t="inlineStr">
        <is>
          <t>PRJ-3-KPI-3-ST-1</t>
        </is>
      </c>
      <c r="B13" t="inlineStr">
        <is>
          <t>Convert the dashboard admin</t>
        </is>
      </c>
      <c r="C13" t="inlineStr">
        <is>
          <t>Convert file and folder to NextJS</t>
        </is>
      </c>
      <c r="D13" t="inlineStr">
        <is>
          <t>web fix</t>
        </is>
      </c>
      <c r="E13" t="inlineStr">
        <is>
          <t>Done</t>
        </is>
      </c>
      <c r="F13" s="2" t="n">
        <v>46238</v>
      </c>
      <c r="G13" s="2" t="n">
        <v>46245</v>
      </c>
    </row>
    <row r="14">
      <c r="A14" t="inlineStr">
        <is>
          <t>PRJ-3-KPI-3-ST-2</t>
        </is>
      </c>
      <c r="B14" t="inlineStr">
        <is>
          <t>update the dashboard</t>
        </is>
      </c>
      <c r="C14" t="inlineStr">
        <is>
          <t>Convert file and folder to NextJS</t>
        </is>
      </c>
      <c r="D14" t="inlineStr">
        <is>
          <t>web fix</t>
        </is>
      </c>
      <c r="E14" t="inlineStr">
        <is>
          <t>Done</t>
        </is>
      </c>
      <c r="F14" s="2" t="n">
        <v>46239</v>
      </c>
      <c r="G14" s="2" t="n">
        <v>46239</v>
      </c>
    </row>
    <row r="15">
      <c r="A15" t="inlineStr">
        <is>
          <t>PRJ-1-KPI-2-ST-2</t>
        </is>
      </c>
      <c r="B15" t="inlineStr">
        <is>
          <t>improve prompt</t>
        </is>
      </c>
      <c r="C15" t="inlineStr">
        <is>
          <t>Prompt AI</t>
        </is>
      </c>
      <c r="D15" t="inlineStr">
        <is>
          <t>AI-Airtest</t>
        </is>
      </c>
      <c r="E15" t="inlineStr">
        <is>
          <t>Done</t>
        </is>
      </c>
      <c r="F15" s="2" t="n">
        <v>46239</v>
      </c>
      <c r="G15" s="2" t="n">
        <v>46240</v>
      </c>
    </row>
    <row r="16">
      <c r="A16" t="inlineStr">
        <is>
          <t>PRJ-3-KPI-2-ST-2</t>
        </is>
      </c>
      <c r="B16" t="inlineStr">
        <is>
          <t>update the authenticate</t>
        </is>
      </c>
      <c r="C16" t="inlineStr">
        <is>
          <t>Fix the project web running correct</t>
        </is>
      </c>
      <c r="D16" t="inlineStr">
        <is>
          <t>web fix</t>
        </is>
      </c>
      <c r="E16" t="inlineStr">
        <is>
          <t>Done</t>
        </is>
      </c>
      <c r="F16" s="2" t="n">
        <v>46239</v>
      </c>
      <c r="G16" s="2" t="n">
        <v>46240</v>
      </c>
    </row>
    <row r="17">
      <c r="A17" t="inlineStr">
        <is>
          <t>PRJ-3-KPI-2-ST-3</t>
        </is>
      </c>
      <c r="B17" t="inlineStr">
        <is>
          <t>Add tab analystic in dashboard</t>
        </is>
      </c>
      <c r="C17" t="inlineStr">
        <is>
          <t>Fix the project web running correct</t>
        </is>
      </c>
      <c r="D17" t="inlineStr">
        <is>
          <t>web fix</t>
        </is>
      </c>
      <c r="E17" t="inlineStr">
        <is>
          <t>Done</t>
        </is>
      </c>
      <c r="F17" s="2" t="n">
        <v>46240</v>
      </c>
      <c r="G17" s="2" t="n">
        <v>46241</v>
      </c>
    </row>
    <row r="18">
      <c r="A18" t="inlineStr">
        <is>
          <t>PRJ-1-KPI-2-ST-3</t>
        </is>
      </c>
      <c r="B18" t="inlineStr">
        <is>
          <t>Fix the memory AI</t>
        </is>
      </c>
      <c r="C18" t="inlineStr">
        <is>
          <t>Prompt AI</t>
        </is>
      </c>
      <c r="D18" t="inlineStr">
        <is>
          <t>AI-Airtest</t>
        </is>
      </c>
      <c r="E18" t="inlineStr">
        <is>
          <t>Done</t>
        </is>
      </c>
      <c r="F18" s="2" t="n">
        <v>46240</v>
      </c>
      <c r="G18" s="2" t="n">
        <v>46245</v>
      </c>
    </row>
    <row r="19">
      <c r="A19" t="inlineStr">
        <is>
          <t>PRJ-1-KPI-2-ST-4</t>
        </is>
      </c>
      <c r="B19" t="inlineStr">
        <is>
          <t>coding MCP tree and file base</t>
        </is>
      </c>
      <c r="C19" t="inlineStr">
        <is>
          <t>Prompt AI</t>
        </is>
      </c>
      <c r="D19" t="inlineStr">
        <is>
          <t>AI-Airtest</t>
        </is>
      </c>
      <c r="E19" t="inlineStr">
        <is>
          <t>Done</t>
        </is>
      </c>
      <c r="F19" s="2" t="n">
        <v>46240</v>
      </c>
      <c r="G19" s="2" t="n">
        <v>46245</v>
      </c>
    </row>
    <row r="20">
      <c r="A20" t="inlineStr">
        <is>
          <t>PRJ-3-KPI-3-ST-3</t>
        </is>
      </c>
      <c r="B20" t="inlineStr">
        <is>
          <t>debug client</t>
        </is>
      </c>
      <c r="C20" t="inlineStr">
        <is>
          <t>Convert file and folder to NextJS</t>
        </is>
      </c>
      <c r="D20" t="inlineStr">
        <is>
          <t>web fix</t>
        </is>
      </c>
      <c r="E20" t="inlineStr">
        <is>
          <t>Done</t>
        </is>
      </c>
      <c r="F20" s="2" t="n">
        <v>46241</v>
      </c>
      <c r="G20" s="2" t="n">
        <v>46244</v>
      </c>
    </row>
    <row r="21">
      <c r="A21" t="inlineStr">
        <is>
          <t>PRJ-3-KPI-2-ST-4</t>
        </is>
      </c>
      <c r="B21" t="inlineStr">
        <is>
          <t>sync with the server</t>
        </is>
      </c>
      <c r="C21" t="inlineStr">
        <is>
          <t>Fix the project web running correct</t>
        </is>
      </c>
      <c r="D21" t="inlineStr">
        <is>
          <t>web fix</t>
        </is>
      </c>
      <c r="E21" t="inlineStr">
        <is>
          <t>Done</t>
        </is>
      </c>
      <c r="F21" s="2" t="n">
        <v>46244</v>
      </c>
      <c r="G21" s="2" t="n">
        <v>46245</v>
      </c>
    </row>
    <row r="22">
      <c r="A22" t="inlineStr">
        <is>
          <t>PRJ-1-KPI-2-ST-5</t>
        </is>
      </c>
      <c r="B22" t="inlineStr">
        <is>
          <t>change the MCP code base</t>
        </is>
      </c>
      <c r="C22" t="inlineStr">
        <is>
          <t>Prompt AI</t>
        </is>
      </c>
      <c r="D22" t="inlineStr">
        <is>
          <t>AI-Airtest</t>
        </is>
      </c>
      <c r="E22" t="inlineStr">
        <is>
          <t>Done</t>
        </is>
      </c>
      <c r="F22" s="2" t="n">
        <v>46244</v>
      </c>
      <c r="G22" s="2" t="n">
        <v>46245</v>
      </c>
    </row>
    <row r="23">
      <c r="A23" t="inlineStr">
        <is>
          <t>PRJ-3-KPI-2-ST-5</t>
        </is>
      </c>
      <c r="B23" t="inlineStr">
        <is>
          <t>finish admin function: [chapter, tag, slug, author]</t>
        </is>
      </c>
      <c r="C23" t="inlineStr">
        <is>
          <t>Fix the project web running correct</t>
        </is>
      </c>
      <c r="D23" t="inlineStr">
        <is>
          <t>web fix</t>
        </is>
      </c>
      <c r="E23" t="inlineStr">
        <is>
          <t>Done</t>
        </is>
      </c>
      <c r="F23" s="2" t="n">
        <v>46245</v>
      </c>
      <c r="G23" s="2" t="n">
        <v>46245</v>
      </c>
    </row>
    <row r="24">
      <c r="A24" t="inlineStr">
        <is>
          <t>PRJ-5-KPI-1-ST-1</t>
        </is>
      </c>
      <c r="B24" t="inlineStr">
        <is>
          <t>Clear main branch to push production</t>
        </is>
      </c>
      <c r="C24" t="inlineStr">
        <is>
          <t>Push to production with function CRUD for chapter, author, comic, category, login oauth</t>
        </is>
      </c>
      <c r="D24" t="inlineStr">
        <is>
          <t>Comic web</t>
        </is>
      </c>
      <c r="E24" t="inlineStr">
        <is>
          <t>Done</t>
        </is>
      </c>
      <c r="F24" s="2" t="n">
        <v>46245</v>
      </c>
      <c r="G24" s="2" t="n">
        <v>46246</v>
      </c>
    </row>
    <row r="25">
      <c r="A25" t="inlineStr">
        <is>
          <t>PRJ-6-KPI-1-ST-1</t>
        </is>
      </c>
      <c r="B25" t="inlineStr">
        <is>
          <t>Check the MCP call</t>
        </is>
      </c>
      <c r="C25" t="inlineStr">
        <is>
          <t>MCP base finish</t>
        </is>
      </c>
      <c r="D25" t="inlineStr">
        <is>
          <t>AI-test</t>
        </is>
      </c>
      <c r="E25" t="inlineStr">
        <is>
          <t>Done</t>
        </is>
      </c>
      <c r="F25" s="2" t="n">
        <v>46245</v>
      </c>
      <c r="G25" s="2" t="n">
        <v>46246</v>
      </c>
    </row>
    <row r="26">
      <c r="A26" t="inlineStr">
        <is>
          <t>PRJ-5-KPI-1-ST-2</t>
        </is>
      </c>
      <c r="B26" t="inlineStr">
        <is>
          <t>Fix CRUD trong Production</t>
        </is>
      </c>
      <c r="C26" t="inlineStr">
        <is>
          <t>Push to production with function CRUD for chapter, author, comic, category, login oauth</t>
        </is>
      </c>
      <c r="D26" t="inlineStr">
        <is>
          <t>Comic web</t>
        </is>
      </c>
      <c r="E26" t="inlineStr">
        <is>
          <t>Done</t>
        </is>
      </c>
      <c r="F26" s="2" t="n">
        <v>46246</v>
      </c>
      <c r="G26" s="2" t="n">
        <v>46246</v>
      </c>
    </row>
    <row r="27">
      <c r="A27" t="inlineStr">
        <is>
          <t>PRJ-5-KPI-2-ST-1</t>
        </is>
      </c>
      <c r="B27" t="inlineStr">
        <is>
          <t>Update report bug analytics Sentry</t>
        </is>
      </c>
      <c r="C27" t="inlineStr">
        <is>
          <t>Admin dashboard update</t>
        </is>
      </c>
      <c r="D27" t="inlineStr">
        <is>
          <t>Comic web</t>
        </is>
      </c>
      <c r="E27" t="inlineStr">
        <is>
          <t>Done</t>
        </is>
      </c>
      <c r="F27" s="2" t="n">
        <v>46246</v>
      </c>
      <c r="G27" s="2" t="n">
        <v>46246</v>
      </c>
    </row>
    <row r="28">
      <c r="A28" t="inlineStr">
        <is>
          <t>PRJ-6-KPI-1-ST-2</t>
        </is>
      </c>
      <c r="B28" t="inlineStr">
        <is>
          <t>Update the n8n running</t>
        </is>
      </c>
      <c r="C28" t="inlineStr">
        <is>
          <t>MCP base finish</t>
        </is>
      </c>
      <c r="D28" t="inlineStr">
        <is>
          <t>AI-test</t>
        </is>
      </c>
      <c r="E28" t="inlineStr">
        <is>
          <t>In Progress</t>
        </is>
      </c>
      <c r="F28" s="2" t="n">
        <v>46246</v>
      </c>
      <c r="G28" s="2" t="n"/>
    </row>
    <row r="29">
      <c r="A29" t="inlineStr">
        <is>
          <t>PRJ-5-KPI-2-ST-2</t>
        </is>
      </c>
      <c r="B29" t="inlineStr">
        <is>
          <t>Fix deploy local</t>
        </is>
      </c>
      <c r="C29" t="inlineStr">
        <is>
          <t>Admin dashboard update</t>
        </is>
      </c>
      <c r="D29" t="inlineStr">
        <is>
          <t>Comic web</t>
        </is>
      </c>
      <c r="E29" t="inlineStr">
        <is>
          <t>In Progress</t>
        </is>
      </c>
      <c r="F29" s="2" t="n">
        <v>46246</v>
      </c>
      <c r="G29" s="2" t="n"/>
      <c r="H29" t="inlineStr"/>
    </row>
    <row r="30">
      <c r="F30" s="2" t="n"/>
      <c r="G30" s="2" t="n"/>
    </row>
    <row r="31">
      <c r="F31" s="2" t="n"/>
      <c r="G31" s="2" t="n"/>
    </row>
    <row r="32">
      <c r="F32" s="2" t="n"/>
      <c r="G32" s="2" t="n"/>
    </row>
    <row r="33">
      <c r="F33" s="2" t="n"/>
      <c r="G33" s="2" t="n"/>
    </row>
    <row r="34">
      <c r="F34" s="2" t="n"/>
      <c r="G34" s="2" t="n"/>
    </row>
    <row r="35">
      <c r="F35" s="2" t="n"/>
      <c r="G35" s="2" t="n"/>
    </row>
    <row r="36">
      <c r="F36" s="2" t="n"/>
      <c r="G36" s="2" t="n"/>
    </row>
    <row r="37">
      <c r="F37" s="2" t="n"/>
      <c r="G37" s="2" t="n"/>
    </row>
    <row r="38">
      <c r="F38" s="2" t="n"/>
      <c r="G38" s="2" t="n"/>
    </row>
    <row r="39">
      <c r="F39" s="2" t="n"/>
      <c r="G39" s="2" t="n"/>
    </row>
    <row r="40">
      <c r="F40" s="2" t="n"/>
      <c r="G40" s="2" t="n"/>
    </row>
    <row r="41">
      <c r="F41" s="2" t="n"/>
      <c r="G41" s="2" t="n"/>
    </row>
    <row r="42">
      <c r="F42" s="2" t="n"/>
      <c r="G42" s="2" t="n"/>
    </row>
    <row r="43">
      <c r="F43" s="2" t="n"/>
      <c r="G43" s="2" t="n"/>
    </row>
    <row r="44">
      <c r="F44" s="2" t="n"/>
      <c r="G44" s="2" t="n"/>
    </row>
    <row r="45">
      <c r="F45" s="2" t="n"/>
      <c r="G45" s="2" t="n"/>
    </row>
    <row r="46">
      <c r="F46" s="2" t="n"/>
      <c r="G46" s="2" t="n"/>
    </row>
    <row r="47">
      <c r="F47" s="2" t="n"/>
      <c r="G47" s="2" t="n"/>
    </row>
    <row r="48">
      <c r="F48" s="2" t="n"/>
      <c r="G48" s="2" t="n"/>
    </row>
    <row r="49">
      <c r="F49" s="2" t="n"/>
      <c r="G49" s="2" t="n"/>
    </row>
    <row r="50">
      <c r="F50" s="2" t="n"/>
      <c r="G50" s="2" t="n"/>
    </row>
    <row r="51">
      <c r="F51" s="2" t="n"/>
      <c r="G51" s="2" t="n"/>
    </row>
    <row r="52">
      <c r="F52" s="2" t="n"/>
      <c r="G52" s="2" t="n"/>
    </row>
    <row r="53">
      <c r="F53" s="2" t="n"/>
      <c r="G53" s="2" t="n"/>
    </row>
    <row r="54">
      <c r="F54" s="2" t="n"/>
      <c r="G54" s="2" t="n"/>
    </row>
    <row r="55">
      <c r="F55" s="2" t="n"/>
      <c r="G55" s="2" t="n"/>
    </row>
    <row r="56">
      <c r="F56" s="2" t="n"/>
      <c r="G56" s="2" t="n"/>
    </row>
    <row r="57">
      <c r="F57" s="2" t="n"/>
      <c r="G57" s="2" t="n"/>
    </row>
    <row r="58">
      <c r="F58" s="2" t="n"/>
      <c r="G58" s="2" t="n"/>
    </row>
    <row r="59">
      <c r="F59" s="2" t="n"/>
      <c r="G59" s="2" t="n"/>
    </row>
    <row r="60">
      <c r="F60" s="2" t="n"/>
      <c r="G60" s="2" t="n"/>
    </row>
    <row r="61">
      <c r="F61" s="2" t="n"/>
      <c r="G61" s="2" t="n"/>
    </row>
    <row r="62">
      <c r="F62" s="2" t="n"/>
      <c r="G62" s="2" t="n"/>
    </row>
    <row r="63">
      <c r="F63" s="2" t="n"/>
      <c r="G63" s="2" t="n"/>
    </row>
    <row r="64">
      <c r="F64" s="2" t="n"/>
      <c r="G64" s="2" t="n"/>
    </row>
    <row r="65">
      <c r="F65" s="2" t="n"/>
      <c r="G65" s="2" t="n"/>
    </row>
    <row r="66">
      <c r="F66" s="2" t="n"/>
      <c r="G66" s="2" t="n"/>
    </row>
    <row r="67">
      <c r="F67" s="2" t="n"/>
      <c r="G67" s="2" t="n"/>
    </row>
    <row r="68">
      <c r="F68" s="2" t="n"/>
      <c r="G68" s="2" t="n"/>
    </row>
    <row r="69">
      <c r="F69" s="2" t="n"/>
      <c r="G69" s="2" t="n"/>
    </row>
    <row r="70">
      <c r="F70" s="2" t="n"/>
      <c r="G70" s="2" t="n"/>
    </row>
    <row r="71">
      <c r="F71" s="2" t="n"/>
      <c r="G71" s="2" t="n"/>
    </row>
    <row r="72">
      <c r="F72" s="2" t="n"/>
      <c r="G72" s="2" t="n"/>
    </row>
    <row r="73">
      <c r="F73" s="2" t="n"/>
      <c r="G73" s="2" t="n"/>
    </row>
    <row r="74">
      <c r="F74" s="2" t="n"/>
      <c r="G74" s="2" t="n"/>
    </row>
    <row r="75">
      <c r="F75" s="2" t="n"/>
      <c r="G75" s="2" t="n"/>
    </row>
    <row r="76">
      <c r="F76" s="2" t="n"/>
      <c r="G76" s="2" t="n"/>
    </row>
    <row r="77">
      <c r="F77" s="2" t="n"/>
      <c r="G77" s="2" t="n"/>
    </row>
    <row r="78">
      <c r="F78" s="2" t="n"/>
      <c r="G78" s="2" t="n"/>
    </row>
    <row r="79">
      <c r="F79" s="2" t="n"/>
      <c r="G79" s="2" t="n"/>
    </row>
    <row r="80">
      <c r="F80" s="2" t="n"/>
      <c r="G80" s="2" t="n"/>
    </row>
    <row r="81">
      <c r="F81" s="2" t="n"/>
      <c r="G81" s="2" t="n"/>
    </row>
    <row r="82">
      <c r="F82" s="2" t="n"/>
      <c r="G82" s="2" t="n"/>
    </row>
    <row r="83">
      <c r="F83" s="2" t="n"/>
      <c r="G83" s="2" t="n"/>
    </row>
    <row r="84">
      <c r="F84" s="2" t="n"/>
      <c r="G84" s="2" t="n"/>
    </row>
    <row r="85">
      <c r="F85" s="2" t="n"/>
      <c r="G85" s="2" t="n"/>
    </row>
    <row r="86">
      <c r="F86" s="2" t="n"/>
      <c r="G86" s="2" t="n"/>
    </row>
    <row r="87">
      <c r="F87" s="2" t="n"/>
      <c r="G87" s="2" t="n"/>
    </row>
    <row r="88">
      <c r="F88" s="2" t="n"/>
      <c r="G88" s="2" t="n"/>
    </row>
    <row r="89">
      <c r="F89" s="2" t="n"/>
      <c r="G89" s="2" t="n"/>
    </row>
    <row r="90">
      <c r="F90" s="2" t="n"/>
      <c r="G90" s="2" t="n"/>
    </row>
    <row r="91">
      <c r="F91" s="2" t="n"/>
      <c r="G91" s="2" t="n"/>
    </row>
    <row r="92">
      <c r="F92" s="2" t="n"/>
      <c r="G92" s="2" t="n"/>
    </row>
    <row r="93">
      <c r="F93" s="2" t="n"/>
      <c r="G93" s="2" t="n"/>
    </row>
    <row r="94">
      <c r="F94" s="2" t="n"/>
      <c r="G94" s="2" t="n"/>
    </row>
    <row r="95">
      <c r="F95" s="2" t="n"/>
      <c r="G95" s="2" t="n"/>
    </row>
    <row r="96">
      <c r="F96" s="2" t="n"/>
      <c r="G96" s="2" t="n"/>
    </row>
    <row r="97">
      <c r="F97" s="2" t="n"/>
      <c r="G97" s="2" t="n"/>
    </row>
    <row r="98">
      <c r="F98" s="2" t="n"/>
      <c r="G98" s="2" t="n"/>
    </row>
    <row r="99">
      <c r="F99" s="2" t="n"/>
      <c r="G99" s="2" t="n"/>
    </row>
    <row r="100">
      <c r="F100" s="2" t="n"/>
      <c r="G100" s="2" t="n"/>
    </row>
    <row r="101">
      <c r="F101" s="2" t="n"/>
      <c r="G101" s="2" t="n"/>
    </row>
    <row r="102">
      <c r="F102" s="2" t="n"/>
      <c r="G102" s="2" t="n"/>
    </row>
    <row r="103">
      <c r="F103" s="2" t="n"/>
      <c r="G103" s="2" t="n"/>
    </row>
    <row r="104">
      <c r="F104" s="2" t="n"/>
      <c r="G104" s="2" t="n"/>
    </row>
    <row r="105">
      <c r="F105" s="2" t="n"/>
      <c r="G105" s="2" t="n"/>
    </row>
    <row r="106">
      <c r="F106" s="2" t="n"/>
      <c r="G106" s="2" t="n"/>
    </row>
    <row r="107">
      <c r="F107" s="2" t="n"/>
      <c r="G107" s="2" t="n"/>
    </row>
    <row r="108">
      <c r="F108" s="2" t="n"/>
      <c r="G108" s="2" t="n"/>
    </row>
    <row r="109">
      <c r="F109" s="2" t="n"/>
      <c r="G109" s="2" t="n"/>
    </row>
    <row r="110">
      <c r="F110" s="2" t="n"/>
      <c r="G110" s="2" t="n"/>
    </row>
    <row r="111">
      <c r="F111" s="2" t="n"/>
      <c r="G111" s="2" t="n"/>
    </row>
    <row r="112">
      <c r="F112" s="2" t="n"/>
      <c r="G112" s="2" t="n"/>
    </row>
    <row r="113">
      <c r="F113" s="2" t="n"/>
      <c r="G113" s="2" t="n"/>
    </row>
    <row r="114">
      <c r="F114" s="2" t="n"/>
      <c r="G114" s="2" t="n"/>
    </row>
    <row r="115">
      <c r="F115" s="2" t="n"/>
      <c r="G115" s="2" t="n"/>
    </row>
    <row r="116">
      <c r="F116" s="2" t="n"/>
      <c r="G116" s="2" t="n"/>
    </row>
    <row r="117">
      <c r="F117" s="2" t="n"/>
      <c r="G117" s="2" t="n"/>
    </row>
    <row r="118">
      <c r="F118" s="2" t="n"/>
      <c r="G118" s="2" t="n"/>
    </row>
    <row r="119">
      <c r="F119" s="2" t="n"/>
      <c r="G119" s="2" t="n"/>
    </row>
    <row r="120">
      <c r="F120" s="2" t="n"/>
      <c r="G120" s="2" t="n"/>
    </row>
    <row r="121">
      <c r="F121" s="2" t="n"/>
      <c r="G121" s="2" t="n"/>
    </row>
    <row r="122">
      <c r="F122" s="2" t="n"/>
      <c r="G122" s="2" t="n"/>
    </row>
    <row r="123">
      <c r="F123" s="2" t="n"/>
      <c r="G123" s="2" t="n"/>
    </row>
    <row r="124">
      <c r="F124" s="2" t="n"/>
      <c r="G124" s="2" t="n"/>
    </row>
    <row r="125">
      <c r="F125" s="2" t="n"/>
      <c r="G125" s="2" t="n"/>
    </row>
    <row r="126">
      <c r="F126" s="2" t="n"/>
      <c r="G126" s="2" t="n"/>
    </row>
    <row r="127">
      <c r="F127" s="2" t="n"/>
      <c r="G127" s="2" t="n"/>
    </row>
    <row r="128">
      <c r="F128" s="2" t="n"/>
      <c r="G128" s="2" t="n"/>
    </row>
    <row r="129">
      <c r="F129" s="2" t="n"/>
      <c r="G129" s="2" t="n"/>
    </row>
    <row r="130">
      <c r="F130" s="2" t="n"/>
      <c r="G130" s="2" t="n"/>
    </row>
    <row r="131">
      <c r="F131" s="2" t="n"/>
      <c r="G131" s="2" t="n"/>
    </row>
    <row r="132">
      <c r="F132" s="2" t="n"/>
      <c r="G132" s="2" t="n"/>
    </row>
    <row r="133">
      <c r="F133" s="2" t="n"/>
      <c r="G133" s="2" t="n"/>
    </row>
    <row r="134">
      <c r="F134" s="2" t="n"/>
      <c r="G134" s="2" t="n"/>
    </row>
    <row r="135">
      <c r="F135" s="2" t="n"/>
      <c r="G135" s="2" t="n"/>
    </row>
    <row r="136">
      <c r="F136" s="2" t="n"/>
      <c r="G136" s="2" t="n"/>
    </row>
    <row r="137">
      <c r="F137" s="2" t="n"/>
      <c r="G137" s="2" t="n"/>
    </row>
    <row r="138">
      <c r="F138" s="2" t="n"/>
      <c r="G138" s="2" t="n"/>
    </row>
    <row r="139">
      <c r="F139" s="2" t="n"/>
      <c r="G139" s="2" t="n"/>
    </row>
    <row r="140">
      <c r="F140" s="2" t="n"/>
      <c r="G140" s="2" t="n"/>
    </row>
    <row r="141">
      <c r="F141" s="2" t="n"/>
      <c r="G141" s="2" t="n"/>
    </row>
    <row r="142">
      <c r="F142" s="2" t="n"/>
      <c r="G142" s="2" t="n"/>
    </row>
    <row r="143">
      <c r="F143" s="2" t="n"/>
      <c r="G143" s="2" t="n"/>
    </row>
    <row r="144">
      <c r="F144" s="2" t="n"/>
      <c r="G144" s="2" t="n"/>
    </row>
    <row r="145">
      <c r="F145" s="2" t="n"/>
      <c r="G145" s="2" t="n"/>
    </row>
    <row r="146">
      <c r="F146" s="2" t="n"/>
      <c r="G146" s="2" t="n"/>
    </row>
    <row r="147">
      <c r="F147" s="2" t="n"/>
      <c r="G147" s="2" t="n"/>
    </row>
    <row r="148">
      <c r="F148" s="2" t="n"/>
      <c r="G148" s="2" t="n"/>
    </row>
    <row r="149">
      <c r="F149" s="2" t="n"/>
      <c r="G149" s="2" t="n"/>
    </row>
    <row r="150">
      <c r="F150" s="2" t="n"/>
      <c r="G150" s="2" t="n"/>
    </row>
    <row r="151">
      <c r="F151" s="2" t="n"/>
      <c r="G151" s="2" t="n"/>
    </row>
    <row r="152">
      <c r="F152" s="2" t="n"/>
      <c r="G152" s="2" t="n"/>
    </row>
    <row r="153">
      <c r="F153" s="2" t="n"/>
      <c r="G153" s="2" t="n"/>
    </row>
    <row r="154">
      <c r="F154" s="2" t="n"/>
      <c r="G154" s="2" t="n"/>
    </row>
    <row r="155">
      <c r="F155" s="2" t="n"/>
      <c r="G155" s="2" t="n"/>
    </row>
    <row r="156">
      <c r="F156" s="2" t="n"/>
      <c r="G156" s="2" t="n"/>
    </row>
    <row r="157">
      <c r="F157" s="2" t="n"/>
      <c r="G157" s="2" t="n"/>
    </row>
    <row r="158">
      <c r="F158" s="2" t="n"/>
      <c r="G158" s="2" t="n"/>
    </row>
    <row r="159">
      <c r="F159" s="2" t="n"/>
      <c r="G159" s="2" t="n"/>
    </row>
    <row r="160">
      <c r="F160" s="2" t="n"/>
      <c r="G160" s="2" t="n"/>
    </row>
    <row r="161">
      <c r="F161" s="2" t="n"/>
      <c r="G161" s="2" t="n"/>
    </row>
    <row r="162">
      <c r="F162" s="2" t="n"/>
      <c r="G162" s="2" t="n"/>
    </row>
    <row r="163">
      <c r="F163" s="2" t="n"/>
      <c r="G163" s="2" t="n"/>
    </row>
    <row r="164">
      <c r="F164" s="2" t="n"/>
      <c r="G164" s="2" t="n"/>
    </row>
    <row r="165">
      <c r="F165" s="2" t="n"/>
      <c r="G165" s="2" t="n"/>
    </row>
    <row r="166">
      <c r="F166" s="2" t="n"/>
      <c r="G166" s="2" t="n"/>
    </row>
    <row r="167">
      <c r="F167" s="2" t="n"/>
      <c r="G167" s="2" t="n"/>
    </row>
    <row r="168">
      <c r="F168" s="2" t="n"/>
      <c r="G168" s="2" t="n"/>
    </row>
    <row r="169">
      <c r="F169" s="2" t="n"/>
      <c r="G169" s="2" t="n"/>
    </row>
    <row r="170">
      <c r="F170" s="2" t="n"/>
      <c r="G170" s="2" t="n"/>
    </row>
    <row r="171">
      <c r="F171" s="2" t="n"/>
      <c r="G171" s="2" t="n"/>
    </row>
    <row r="172">
      <c r="F172" s="2" t="n"/>
      <c r="G172" s="2" t="n"/>
    </row>
    <row r="173">
      <c r="F173" s="2" t="n"/>
      <c r="G173" s="2" t="n"/>
    </row>
    <row r="174">
      <c r="F174" s="2" t="n"/>
      <c r="G174" s="2" t="n"/>
    </row>
    <row r="175">
      <c r="F175" s="2" t="n"/>
      <c r="G175" s="2" t="n"/>
    </row>
    <row r="176">
      <c r="F176" s="2" t="n"/>
      <c r="G176" s="2" t="n"/>
    </row>
    <row r="177">
      <c r="F177" s="2" t="n"/>
      <c r="G177" s="2" t="n"/>
    </row>
    <row r="178">
      <c r="F178" s="2" t="n"/>
      <c r="G178" s="2" t="n"/>
    </row>
    <row r="179">
      <c r="F179" s="2" t="n"/>
      <c r="G179" s="2" t="n"/>
    </row>
    <row r="180">
      <c r="F180" s="2" t="n"/>
      <c r="G180" s="2" t="n"/>
    </row>
    <row r="181">
      <c r="F181" s="2" t="n"/>
      <c r="G181" s="2" t="n"/>
    </row>
    <row r="182">
      <c r="F182" s="2" t="n"/>
      <c r="G182" s="2" t="n"/>
    </row>
    <row r="183">
      <c r="F183" s="2" t="n"/>
      <c r="G183" s="2" t="n"/>
    </row>
    <row r="184">
      <c r="F184" s="2" t="n"/>
      <c r="G184" s="2" t="n"/>
    </row>
    <row r="185">
      <c r="F185" s="2" t="n"/>
      <c r="G185" s="2" t="n"/>
    </row>
    <row r="186">
      <c r="F186" s="2" t="n"/>
      <c r="G186" s="2" t="n"/>
    </row>
    <row r="187">
      <c r="F187" s="2" t="n"/>
      <c r="G187" s="2" t="n"/>
    </row>
    <row r="188">
      <c r="F188" s="2" t="n"/>
      <c r="G188" s="2" t="n"/>
    </row>
    <row r="189">
      <c r="F189" s="2" t="n"/>
      <c r="G189" s="2" t="n"/>
    </row>
    <row r="190">
      <c r="F190" s="2" t="n"/>
      <c r="G190" s="2" t="n"/>
    </row>
    <row r="191">
      <c r="F191" s="2" t="n"/>
      <c r="G191" s="2" t="n"/>
    </row>
    <row r="192">
      <c r="F192" s="2" t="n"/>
      <c r="G192" s="2" t="n"/>
    </row>
    <row r="193">
      <c r="F193" s="2" t="n"/>
      <c r="G193" s="2" t="n"/>
    </row>
    <row r="194">
      <c r="F194" s="2" t="n"/>
      <c r="G194" s="2" t="n"/>
    </row>
    <row r="195">
      <c r="F195" s="2" t="n"/>
      <c r="G195" s="2" t="n"/>
    </row>
    <row r="196">
      <c r="F196" s="2" t="n"/>
      <c r="G196" s="2" t="n"/>
    </row>
    <row r="197">
      <c r="F197" s="2" t="n"/>
      <c r="G197" s="2" t="n"/>
    </row>
    <row r="198">
      <c r="F198" s="2" t="n"/>
      <c r="G198" s="2" t="n"/>
    </row>
    <row r="199">
      <c r="F199" s="2" t="n"/>
      <c r="G199" s="2" t="n"/>
    </row>
    <row r="200">
      <c r="F200" s="2" t="n"/>
      <c r="G200" s="2" t="n"/>
    </row>
    <row r="201">
      <c r="F201" s="2" t="n"/>
      <c r="G201" s="2" t="n"/>
    </row>
    <row r="202">
      <c r="F202" s="2" t="n"/>
      <c r="G202" s="2" t="n"/>
    </row>
    <row r="203">
      <c r="F203" s="2" t="n"/>
      <c r="G203" s="2" t="n"/>
    </row>
    <row r="204">
      <c r="F204" s="2" t="n"/>
      <c r="G204" s="2" t="n"/>
    </row>
    <row r="205">
      <c r="F205" s="2" t="n"/>
      <c r="G205" s="2" t="n"/>
    </row>
    <row r="206">
      <c r="F206" s="2" t="n"/>
      <c r="G206" s="2" t="n"/>
    </row>
    <row r="207">
      <c r="F207" s="2" t="n"/>
      <c r="G207" s="2" t="n"/>
    </row>
    <row r="208">
      <c r="F208" s="2" t="n"/>
      <c r="G208" s="2" t="n"/>
    </row>
    <row r="209">
      <c r="F209" s="2" t="n"/>
      <c r="G209" s="2" t="n"/>
    </row>
    <row r="210">
      <c r="F210" s="2" t="n"/>
      <c r="G210" s="2" t="n"/>
    </row>
    <row r="211">
      <c r="F211" s="2" t="n"/>
      <c r="G211" s="2" t="n"/>
    </row>
    <row r="212">
      <c r="F212" s="2" t="n"/>
      <c r="G212" s="2" t="n"/>
    </row>
    <row r="213">
      <c r="F213" s="2" t="n"/>
      <c r="G213" s="2" t="n"/>
    </row>
    <row r="214">
      <c r="F214" s="2" t="n"/>
      <c r="G214" s="2" t="n"/>
    </row>
    <row r="215">
      <c r="F215" s="2" t="n"/>
      <c r="G215" s="2" t="n"/>
    </row>
    <row r="216">
      <c r="F216" s="2" t="n"/>
      <c r="G216" s="2" t="n"/>
    </row>
    <row r="217">
      <c r="F217" s="2" t="n"/>
      <c r="G217" s="2" t="n"/>
    </row>
    <row r="218">
      <c r="F218" s="2" t="n"/>
      <c r="G218" s="2" t="n"/>
    </row>
    <row r="219">
      <c r="F219" s="2" t="n"/>
      <c r="G219" s="2" t="n"/>
    </row>
    <row r="220">
      <c r="F220" s="2" t="n"/>
      <c r="G220" s="2" t="n"/>
    </row>
    <row r="221">
      <c r="F221" s="2" t="n"/>
      <c r="G221" s="2" t="n"/>
    </row>
    <row r="222">
      <c r="F222" s="2" t="n"/>
      <c r="G222" s="2" t="n"/>
    </row>
    <row r="223">
      <c r="F223" s="2" t="n"/>
      <c r="G223" s="2" t="n"/>
    </row>
    <row r="224">
      <c r="F224" s="2" t="n"/>
      <c r="G224" s="2" t="n"/>
    </row>
    <row r="225">
      <c r="F225" s="2" t="n"/>
      <c r="G225" s="2" t="n"/>
    </row>
    <row r="226">
      <c r="F226" s="2" t="n"/>
      <c r="G226" s="2" t="n"/>
    </row>
    <row r="227">
      <c r="F227" s="2" t="n"/>
      <c r="G227" s="2" t="n"/>
    </row>
    <row r="228">
      <c r="F228" s="2" t="n"/>
      <c r="G228" s="2" t="n"/>
    </row>
    <row r="229">
      <c r="F229" s="2" t="n"/>
      <c r="G229" s="2" t="n"/>
    </row>
    <row r="230">
      <c r="F230" s="2" t="n"/>
      <c r="G230" s="2" t="n"/>
    </row>
    <row r="231">
      <c r="F231" s="2" t="n"/>
      <c r="G231" s="2" t="n"/>
    </row>
    <row r="232">
      <c r="F232" s="2" t="n"/>
      <c r="G232" s="2" t="n"/>
    </row>
    <row r="233">
      <c r="F233" s="2" t="n"/>
      <c r="G233" s="2" t="n"/>
    </row>
    <row r="234">
      <c r="F234" s="2" t="n"/>
      <c r="G234" s="2" t="n"/>
    </row>
    <row r="235">
      <c r="F235" s="2" t="n"/>
      <c r="G235" s="2" t="n"/>
    </row>
    <row r="236">
      <c r="F236" s="2" t="n"/>
      <c r="G236" s="2" t="n"/>
    </row>
    <row r="237">
      <c r="F237" s="2" t="n"/>
      <c r="G237" s="2" t="n"/>
    </row>
    <row r="238">
      <c r="F238" s="2" t="n"/>
      <c r="G238" s="2" t="n"/>
    </row>
    <row r="239">
      <c r="F239" s="2" t="n"/>
      <c r="G239" s="2" t="n"/>
    </row>
    <row r="240">
      <c r="F240" s="2" t="n"/>
      <c r="G240" s="2" t="n"/>
    </row>
    <row r="241">
      <c r="F241" s="2" t="n"/>
      <c r="G241" s="2" t="n"/>
    </row>
    <row r="242">
      <c r="F242" s="2" t="n"/>
      <c r="G242" s="2" t="n"/>
    </row>
    <row r="243">
      <c r="F243" s="2" t="n"/>
      <c r="G243" s="2" t="n"/>
    </row>
    <row r="244">
      <c r="F244" s="2" t="n"/>
      <c r="G244" s="2" t="n"/>
    </row>
    <row r="245">
      <c r="F245" s="2" t="n"/>
      <c r="G245" s="2" t="n"/>
    </row>
    <row r="246">
      <c r="F246" s="2" t="n"/>
      <c r="G246" s="2" t="n"/>
    </row>
    <row r="247">
      <c r="F247" s="2" t="n"/>
      <c r="G247" s="2" t="n"/>
    </row>
    <row r="248">
      <c r="F248" s="2" t="n"/>
      <c r="G248" s="2" t="n"/>
    </row>
    <row r="249">
      <c r="F249" s="2" t="n"/>
      <c r="G249" s="2" t="n"/>
    </row>
    <row r="250">
      <c r="F250" s="2" t="n"/>
      <c r="G250" s="2" t="n"/>
    </row>
    <row r="251">
      <c r="F251" s="2" t="n"/>
      <c r="G251" s="2" t="n"/>
    </row>
    <row r="252">
      <c r="F252" s="2" t="n"/>
      <c r="G252" s="2" t="n"/>
    </row>
    <row r="253">
      <c r="F253" s="2" t="n"/>
      <c r="G253" s="2" t="n"/>
    </row>
    <row r="254">
      <c r="F254" s="2" t="n"/>
      <c r="G254" s="2" t="n"/>
    </row>
    <row r="255">
      <c r="F255" s="2" t="n"/>
      <c r="G255" s="2" t="n"/>
    </row>
    <row r="256">
      <c r="F256" s="2" t="n"/>
      <c r="G256" s="2" t="n"/>
    </row>
    <row r="257">
      <c r="F257" s="2" t="n"/>
      <c r="G257" s="2" t="n"/>
    </row>
    <row r="258">
      <c r="F258" s="2" t="n"/>
      <c r="G258" s="2" t="n"/>
    </row>
    <row r="259">
      <c r="F259" s="2" t="n"/>
      <c r="G259" s="2" t="n"/>
    </row>
    <row r="260">
      <c r="F260" s="2" t="n"/>
      <c r="G260" s="2" t="n"/>
    </row>
    <row r="261">
      <c r="F261" s="2" t="n"/>
      <c r="G261" s="2" t="n"/>
    </row>
    <row r="262">
      <c r="F262" s="2" t="n"/>
      <c r="G262" s="2" t="n"/>
    </row>
    <row r="263">
      <c r="F263" s="2" t="n"/>
      <c r="G263" s="2" t="n"/>
    </row>
    <row r="264">
      <c r="F264" s="2" t="n"/>
      <c r="G264" s="2" t="n"/>
    </row>
    <row r="265">
      <c r="F265" s="2" t="n"/>
      <c r="G265" s="2" t="n"/>
    </row>
    <row r="266">
      <c r="F266" s="2" t="n"/>
      <c r="G266" s="2" t="n"/>
    </row>
    <row r="267">
      <c r="F267" s="2" t="n"/>
      <c r="G267" s="2" t="n"/>
    </row>
    <row r="268">
      <c r="F268" s="2" t="n"/>
      <c r="G268" s="2" t="n"/>
    </row>
    <row r="269">
      <c r="F269" s="2" t="n"/>
      <c r="G269" s="2" t="n"/>
    </row>
    <row r="270">
      <c r="F270" s="2" t="n"/>
      <c r="G270" s="2" t="n"/>
    </row>
    <row r="271">
      <c r="F271" s="2" t="n"/>
      <c r="G271" s="2" t="n"/>
    </row>
    <row r="272">
      <c r="F272" s="2" t="n"/>
      <c r="G272" s="2" t="n"/>
    </row>
    <row r="273">
      <c r="F273" s="2" t="n"/>
      <c r="G273" s="2" t="n"/>
    </row>
    <row r="274">
      <c r="F274" s="2" t="n"/>
      <c r="G274" s="2" t="n"/>
    </row>
    <row r="275">
      <c r="F275" s="2" t="n"/>
      <c r="G275" s="2" t="n"/>
    </row>
    <row r="276">
      <c r="F276" s="2" t="n"/>
      <c r="G276" s="2" t="n"/>
    </row>
    <row r="277">
      <c r="F277" s="2" t="n"/>
      <c r="G277" s="2" t="n"/>
    </row>
    <row r="278">
      <c r="F278" s="2" t="n"/>
      <c r="G278" s="2" t="n"/>
    </row>
    <row r="279">
      <c r="F279" s="2" t="n"/>
      <c r="G279" s="2" t="n"/>
    </row>
    <row r="280">
      <c r="F280" s="2" t="n"/>
      <c r="G280" s="2" t="n"/>
    </row>
    <row r="281">
      <c r="F281" s="2" t="n"/>
      <c r="G281" s="2" t="n"/>
    </row>
    <row r="282">
      <c r="F282" s="2" t="n"/>
      <c r="G282" s="2" t="n"/>
    </row>
    <row r="283">
      <c r="F283" s="2" t="n"/>
      <c r="G283" s="2" t="n"/>
    </row>
    <row r="284">
      <c r="F284" s="2" t="n"/>
      <c r="G284" s="2" t="n"/>
    </row>
    <row r="285">
      <c r="F285" s="2" t="n"/>
      <c r="G285" s="2" t="n"/>
    </row>
    <row r="286">
      <c r="F286" s="2" t="n"/>
      <c r="G286" s="2" t="n"/>
    </row>
    <row r="287">
      <c r="F287" s="2" t="n"/>
      <c r="G287" s="2" t="n"/>
    </row>
    <row r="288">
      <c r="F288" s="2" t="n"/>
      <c r="G288" s="2" t="n"/>
    </row>
    <row r="289">
      <c r="F289" s="2" t="n"/>
      <c r="G289" s="2" t="n"/>
    </row>
    <row r="290">
      <c r="F290" s="2" t="n"/>
      <c r="G290" s="2" t="n"/>
    </row>
    <row r="291">
      <c r="F291" s="2" t="n"/>
      <c r="G291" s="2" t="n"/>
    </row>
    <row r="292">
      <c r="F292" s="2" t="n"/>
      <c r="G292" s="2" t="n"/>
    </row>
    <row r="293">
      <c r="F293" s="2" t="n"/>
      <c r="G293" s="2" t="n"/>
    </row>
    <row r="294">
      <c r="F294" s="2" t="n"/>
      <c r="G294" s="2" t="n"/>
    </row>
    <row r="295">
      <c r="F295" s="2" t="n"/>
      <c r="G295" s="2" t="n"/>
    </row>
    <row r="296">
      <c r="F296" s="2" t="n"/>
      <c r="G296" s="2" t="n"/>
    </row>
    <row r="297">
      <c r="F297" s="2" t="n"/>
      <c r="G297" s="2" t="n"/>
    </row>
    <row r="298">
      <c r="F298" s="2" t="n"/>
      <c r="G298" s="2" t="n"/>
    </row>
    <row r="299">
      <c r="F299" s="2" t="n"/>
      <c r="G299" s="2" t="n"/>
    </row>
    <row r="300">
      <c r="F300" s="2" t="n"/>
      <c r="G300" s="2" t="n"/>
    </row>
    <row r="301">
      <c r="F301" s="2" t="n"/>
      <c r="G301" s="2" t="n"/>
    </row>
    <row r="302">
      <c r="F302" s="2" t="n"/>
      <c r="G302" s="2" t="n"/>
    </row>
    <row r="303">
      <c r="F303" s="2" t="n"/>
      <c r="G303" s="2" t="n"/>
    </row>
    <row r="304">
      <c r="F304" s="2" t="n"/>
      <c r="G304" s="2" t="n"/>
    </row>
    <row r="305">
      <c r="F305" s="2" t="n"/>
      <c r="G305" s="2" t="n"/>
    </row>
    <row r="306">
      <c r="F306" s="2" t="n"/>
      <c r="G306" s="2" t="n"/>
    </row>
    <row r="307">
      <c r="F307" s="2" t="n"/>
      <c r="G307" s="2" t="n"/>
    </row>
    <row r="308">
      <c r="F308" s="2" t="n"/>
      <c r="G308" s="2" t="n"/>
    </row>
    <row r="309">
      <c r="F309" s="2" t="n"/>
      <c r="G309" s="2" t="n"/>
    </row>
    <row r="310">
      <c r="F310" s="2" t="n"/>
      <c r="G310" s="2" t="n"/>
    </row>
    <row r="311">
      <c r="F311" s="2" t="n"/>
      <c r="G311" s="2" t="n"/>
    </row>
    <row r="312">
      <c r="F312" s="2" t="n"/>
      <c r="G312" s="2" t="n"/>
    </row>
    <row r="313">
      <c r="F313" s="2" t="n"/>
      <c r="G313" s="2" t="n"/>
    </row>
    <row r="314">
      <c r="F314" s="2" t="n"/>
      <c r="G314" s="2" t="n"/>
    </row>
    <row r="315">
      <c r="F315" s="2" t="n"/>
      <c r="G315" s="2" t="n"/>
    </row>
    <row r="316">
      <c r="F316" s="2" t="n"/>
      <c r="G316" s="2" t="n"/>
    </row>
    <row r="317">
      <c r="F317" s="2" t="n"/>
      <c r="G317" s="2" t="n"/>
    </row>
    <row r="318">
      <c r="F318" s="2" t="n"/>
      <c r="G318" s="2" t="n"/>
    </row>
    <row r="319">
      <c r="F319" s="2" t="n"/>
      <c r="G319" s="2" t="n"/>
    </row>
    <row r="320">
      <c r="F320" s="2" t="n"/>
      <c r="G320" s="2" t="n"/>
    </row>
    <row r="321">
      <c r="F321" s="2" t="n"/>
      <c r="G321" s="2" t="n"/>
    </row>
    <row r="322">
      <c r="F322" s="2" t="n"/>
      <c r="G322" s="2" t="n"/>
    </row>
    <row r="323">
      <c r="F323" s="2" t="n"/>
      <c r="G323" s="2" t="n"/>
    </row>
    <row r="324">
      <c r="F324" s="2" t="n"/>
      <c r="G324" s="2" t="n"/>
    </row>
    <row r="325">
      <c r="F325" s="2" t="n"/>
      <c r="G325" s="2" t="n"/>
    </row>
    <row r="326">
      <c r="F326" s="2" t="n"/>
      <c r="G326" s="2" t="n"/>
    </row>
    <row r="327">
      <c r="F327" s="2" t="n"/>
      <c r="G327" s="2" t="n"/>
    </row>
    <row r="328">
      <c r="F328" s="2" t="n"/>
      <c r="G328" s="2" t="n"/>
    </row>
    <row r="329">
      <c r="F329" s="2" t="n"/>
      <c r="G329" s="2" t="n"/>
    </row>
    <row r="330">
      <c r="F330" s="2" t="n"/>
      <c r="G330" s="2" t="n"/>
    </row>
    <row r="331">
      <c r="F331" s="2" t="n"/>
      <c r="G331" s="2" t="n"/>
    </row>
    <row r="332">
      <c r="F332" s="2" t="n"/>
      <c r="G332" s="2" t="n"/>
    </row>
    <row r="333">
      <c r="F333" s="2" t="n"/>
      <c r="G333" s="2" t="n"/>
    </row>
    <row r="334">
      <c r="F334" s="2" t="n"/>
      <c r="G334" s="2" t="n"/>
    </row>
    <row r="335">
      <c r="F335" s="2" t="n"/>
      <c r="G335" s="2" t="n"/>
    </row>
    <row r="336">
      <c r="F336" s="2" t="n"/>
      <c r="G336" s="2" t="n"/>
    </row>
    <row r="337">
      <c r="F337" s="2" t="n"/>
      <c r="G337" s="2" t="n"/>
    </row>
    <row r="338">
      <c r="F338" s="2" t="n"/>
      <c r="G338" s="2" t="n"/>
    </row>
    <row r="339">
      <c r="F339" s="2" t="n"/>
      <c r="G339" s="2" t="n"/>
    </row>
    <row r="340">
      <c r="F340" s="2" t="n"/>
      <c r="G340" s="2" t="n"/>
    </row>
    <row r="341">
      <c r="F341" s="2" t="n"/>
      <c r="G341" s="2" t="n"/>
    </row>
    <row r="342">
      <c r="F342" s="2" t="n"/>
      <c r="G342" s="2" t="n"/>
    </row>
    <row r="343">
      <c r="F343" s="2" t="n"/>
      <c r="G343" s="2" t="n"/>
    </row>
    <row r="344">
      <c r="F344" s="2" t="n"/>
      <c r="G344" s="2" t="n"/>
    </row>
    <row r="345">
      <c r="F345" s="2" t="n"/>
      <c r="G345" s="2" t="n"/>
    </row>
    <row r="346">
      <c r="F346" s="2" t="n"/>
      <c r="G346" s="2" t="n"/>
    </row>
    <row r="347">
      <c r="F347" s="2" t="n"/>
      <c r="G347" s="2" t="n"/>
    </row>
    <row r="348">
      <c r="F348" s="2" t="n"/>
      <c r="G348" s="2" t="n"/>
    </row>
    <row r="349">
      <c r="F349" s="2" t="n"/>
      <c r="G349" s="2" t="n"/>
    </row>
    <row r="350">
      <c r="F350" s="2" t="n"/>
      <c r="G350" s="2" t="n"/>
    </row>
    <row r="351">
      <c r="F351" s="2" t="n"/>
      <c r="G351" s="2" t="n"/>
    </row>
    <row r="352">
      <c r="F352" s="2" t="n"/>
      <c r="G352" s="2" t="n"/>
    </row>
    <row r="353">
      <c r="F353" s="2" t="n"/>
      <c r="G353" s="2" t="n"/>
    </row>
    <row r="354">
      <c r="F354" s="2" t="n"/>
      <c r="G354" s="2" t="n"/>
    </row>
    <row r="355">
      <c r="F355" s="2" t="n"/>
      <c r="G355" s="2" t="n"/>
    </row>
    <row r="356">
      <c r="F356" s="2" t="n"/>
      <c r="G356" s="2" t="n"/>
    </row>
    <row r="357">
      <c r="F357" s="2" t="n"/>
      <c r="G357" s="2" t="n"/>
    </row>
    <row r="358">
      <c r="F358" s="2" t="n"/>
      <c r="G358" s="2" t="n"/>
    </row>
    <row r="359">
      <c r="F359" s="2" t="n"/>
      <c r="G359" s="2" t="n"/>
    </row>
    <row r="360">
      <c r="F360" s="2" t="n"/>
      <c r="G360" s="2" t="n"/>
    </row>
    <row r="361">
      <c r="F361" s="2" t="n"/>
      <c r="G361" s="2" t="n"/>
    </row>
    <row r="362">
      <c r="F362" s="2" t="n"/>
      <c r="G362" s="2" t="n"/>
    </row>
    <row r="363">
      <c r="F363" s="2" t="n"/>
      <c r="G363" s="2" t="n"/>
    </row>
    <row r="364">
      <c r="F364" s="2" t="n"/>
      <c r="G364" s="2" t="n"/>
    </row>
    <row r="365">
      <c r="F365" s="2" t="n"/>
      <c r="G365" s="2" t="n"/>
    </row>
    <row r="366">
      <c r="F366" s="2" t="n"/>
      <c r="G366" s="2" t="n"/>
    </row>
    <row r="367">
      <c r="F367" s="2" t="n"/>
      <c r="G367" s="2" t="n"/>
    </row>
    <row r="368">
      <c r="F368" s="2" t="n"/>
      <c r="G368" s="2" t="n"/>
    </row>
    <row r="369">
      <c r="F369" s="2" t="n"/>
      <c r="G369" s="2" t="n"/>
    </row>
    <row r="370">
      <c r="F370" s="2" t="n"/>
      <c r="G370" s="2" t="n"/>
    </row>
    <row r="371">
      <c r="F371" s="2" t="n"/>
      <c r="G371" s="2" t="n"/>
    </row>
    <row r="372">
      <c r="F372" s="2" t="n"/>
      <c r="G372" s="2" t="n"/>
    </row>
    <row r="373">
      <c r="F373" s="2" t="n"/>
      <c r="G373" s="2" t="n"/>
    </row>
    <row r="374">
      <c r="F374" s="2" t="n"/>
      <c r="G374" s="2" t="n"/>
    </row>
    <row r="375">
      <c r="F375" s="2" t="n"/>
      <c r="G375" s="2" t="n"/>
    </row>
    <row r="376">
      <c r="F376" s="2" t="n"/>
      <c r="G376" s="2" t="n"/>
    </row>
    <row r="377">
      <c r="F377" s="2" t="n"/>
      <c r="G377" s="2" t="n"/>
    </row>
    <row r="378">
      <c r="F378" s="2" t="n"/>
      <c r="G378" s="2" t="n"/>
    </row>
    <row r="379">
      <c r="F379" s="2" t="n"/>
      <c r="G379" s="2" t="n"/>
    </row>
    <row r="380">
      <c r="F380" s="2" t="n"/>
      <c r="G380" s="2" t="n"/>
    </row>
    <row r="381">
      <c r="F381" s="2" t="n"/>
      <c r="G381" s="2" t="n"/>
    </row>
    <row r="382">
      <c r="F382" s="2" t="n"/>
      <c r="G382" s="2" t="n"/>
    </row>
    <row r="383">
      <c r="F383" s="2" t="n"/>
      <c r="G383" s="2" t="n"/>
    </row>
    <row r="384">
      <c r="F384" s="2" t="n"/>
      <c r="G384" s="2" t="n"/>
    </row>
    <row r="385">
      <c r="F385" s="2" t="n"/>
      <c r="G385" s="2" t="n"/>
    </row>
    <row r="386">
      <c r="F386" s="2" t="n"/>
      <c r="G386" s="2" t="n"/>
    </row>
    <row r="387">
      <c r="F387" s="2" t="n"/>
      <c r="G387" s="2" t="n"/>
    </row>
    <row r="388">
      <c r="F388" s="2" t="n"/>
      <c r="G388" s="2" t="n"/>
    </row>
    <row r="389">
      <c r="F389" s="2" t="n"/>
      <c r="G389" s="2" t="n"/>
    </row>
    <row r="390">
      <c r="F390" s="2" t="n"/>
      <c r="G390" s="2" t="n"/>
    </row>
    <row r="391">
      <c r="F391" s="2" t="n"/>
      <c r="G391" s="2" t="n"/>
    </row>
    <row r="392">
      <c r="F392" s="2" t="n"/>
      <c r="G392" s="2" t="n"/>
    </row>
    <row r="393">
      <c r="F393" s="2" t="n"/>
      <c r="G393" s="2" t="n"/>
    </row>
    <row r="394">
      <c r="F394" s="2" t="n"/>
      <c r="G394" s="2" t="n"/>
    </row>
    <row r="395">
      <c r="F395" s="2" t="n"/>
      <c r="G395" s="2" t="n"/>
    </row>
    <row r="396">
      <c r="F396" s="2" t="n"/>
      <c r="G396" s="2" t="n"/>
    </row>
    <row r="397">
      <c r="F397" s="2" t="n"/>
      <c r="G397" s="2" t="n"/>
    </row>
    <row r="398">
      <c r="F398" s="2" t="n"/>
      <c r="G398" s="2" t="n"/>
    </row>
    <row r="399">
      <c r="F399" s="2" t="n"/>
      <c r="G399" s="2" t="n"/>
    </row>
    <row r="400">
      <c r="F400" s="2" t="n"/>
      <c r="G400" s="2" t="n"/>
    </row>
    <row r="401">
      <c r="F401" s="2" t="n"/>
      <c r="G401" s="2" t="n"/>
    </row>
    <row r="402">
      <c r="F402" s="2" t="n"/>
      <c r="G402" s="2" t="n"/>
    </row>
    <row r="403">
      <c r="F403" s="2" t="n"/>
      <c r="G403" s="2" t="n"/>
    </row>
    <row r="404">
      <c r="F404" s="2" t="n"/>
      <c r="G404" s="2" t="n"/>
    </row>
    <row r="405">
      <c r="F405" s="2" t="n"/>
      <c r="G405" s="2" t="n"/>
    </row>
    <row r="406">
      <c r="F406" s="2" t="n"/>
      <c r="G406" s="2" t="n"/>
    </row>
    <row r="407">
      <c r="F407" s="2" t="n"/>
      <c r="G407" s="2" t="n"/>
    </row>
    <row r="408">
      <c r="F408" s="2" t="n"/>
      <c r="G408" s="2" t="n"/>
    </row>
    <row r="409">
      <c r="F409" s="2" t="n"/>
      <c r="G409" s="2" t="n"/>
    </row>
    <row r="410">
      <c r="F410" s="2" t="n"/>
      <c r="G410" s="2" t="n"/>
    </row>
    <row r="411">
      <c r="F411" s="2" t="n"/>
      <c r="G411" s="2" t="n"/>
    </row>
    <row r="412">
      <c r="F412" s="2" t="n"/>
      <c r="G412" s="2" t="n"/>
    </row>
    <row r="413">
      <c r="F413" s="2" t="n"/>
      <c r="G413" s="2" t="n"/>
    </row>
    <row r="414">
      <c r="F414" s="2" t="n"/>
      <c r="G414" s="2" t="n"/>
    </row>
    <row r="415">
      <c r="F415" s="2" t="n"/>
      <c r="G415" s="2" t="n"/>
    </row>
    <row r="416">
      <c r="F416" s="2" t="n"/>
      <c r="G416" s="2" t="n"/>
    </row>
    <row r="417">
      <c r="F417" s="2" t="n"/>
      <c r="G417" s="2" t="n"/>
    </row>
    <row r="418">
      <c r="F418" s="2" t="n"/>
      <c r="G418" s="2" t="n"/>
    </row>
    <row r="419">
      <c r="F419" s="2" t="n"/>
      <c r="G419" s="2" t="n"/>
    </row>
    <row r="420">
      <c r="F420" s="2" t="n"/>
      <c r="G420" s="2" t="n"/>
    </row>
    <row r="421">
      <c r="F421" s="2" t="n"/>
      <c r="G421" s="2" t="n"/>
    </row>
    <row r="422">
      <c r="F422" s="2" t="n"/>
      <c r="G422" s="2" t="n"/>
    </row>
    <row r="423">
      <c r="F423" s="2" t="n"/>
      <c r="G423" s="2" t="n"/>
    </row>
    <row r="424">
      <c r="F424" s="2" t="n"/>
      <c r="G424" s="2" t="n"/>
    </row>
    <row r="425">
      <c r="F425" s="2" t="n"/>
      <c r="G425" s="2" t="n"/>
    </row>
    <row r="426">
      <c r="F426" s="2" t="n"/>
      <c r="G426" s="2" t="n"/>
    </row>
    <row r="427">
      <c r="F427" s="2" t="n"/>
      <c r="G427" s="2" t="n"/>
    </row>
    <row r="428">
      <c r="F428" s="2" t="n"/>
      <c r="G428" s="2" t="n"/>
    </row>
    <row r="429">
      <c r="F429" s="2" t="n"/>
      <c r="G429" s="2" t="n"/>
    </row>
    <row r="430">
      <c r="F430" s="2" t="n"/>
      <c r="G430" s="2" t="n"/>
    </row>
    <row r="431">
      <c r="F431" s="2" t="n"/>
      <c r="G431" s="2" t="n"/>
    </row>
    <row r="432">
      <c r="F432" s="2" t="n"/>
      <c r="G432" s="2" t="n"/>
    </row>
    <row r="433">
      <c r="F433" s="2" t="n"/>
      <c r="G433" s="2" t="n"/>
    </row>
    <row r="434">
      <c r="F434" s="2" t="n"/>
      <c r="G434" s="2" t="n"/>
    </row>
    <row r="435">
      <c r="F435" s="2" t="n"/>
      <c r="G435" s="2" t="n"/>
    </row>
    <row r="436">
      <c r="F436" s="2" t="n"/>
      <c r="G436" s="2" t="n"/>
    </row>
    <row r="437">
      <c r="F437" s="2" t="n"/>
      <c r="G437" s="2" t="n"/>
    </row>
    <row r="438">
      <c r="F438" s="2" t="n"/>
      <c r="G438" s="2" t="n"/>
    </row>
    <row r="439">
      <c r="F439" s="2" t="n"/>
      <c r="G439" s="2" t="n"/>
    </row>
    <row r="440">
      <c r="F440" s="2" t="n"/>
      <c r="G440" s="2" t="n"/>
    </row>
    <row r="441">
      <c r="F441" s="2" t="n"/>
      <c r="G441" s="2" t="n"/>
    </row>
    <row r="442">
      <c r="F442" s="2" t="n"/>
      <c r="G442" s="2" t="n"/>
    </row>
    <row r="443">
      <c r="F443" s="2" t="n"/>
      <c r="G443" s="2" t="n"/>
    </row>
    <row r="444">
      <c r="F444" s="2" t="n"/>
      <c r="G444" s="2" t="n"/>
    </row>
    <row r="445">
      <c r="F445" s="2" t="n"/>
      <c r="G445" s="2" t="n"/>
    </row>
    <row r="446">
      <c r="F446" s="2" t="n"/>
      <c r="G446" s="2" t="n"/>
    </row>
    <row r="447">
      <c r="F447" s="2" t="n"/>
      <c r="G447" s="2" t="n"/>
    </row>
    <row r="448">
      <c r="F448" s="2" t="n"/>
      <c r="G448" s="2" t="n"/>
    </row>
    <row r="449">
      <c r="F449" s="2" t="n"/>
      <c r="G449" s="2" t="n"/>
    </row>
    <row r="450">
      <c r="F450" s="2" t="n"/>
      <c r="G450" s="2" t="n"/>
    </row>
    <row r="451">
      <c r="F451" s="2" t="n"/>
      <c r="G451" s="2" t="n"/>
    </row>
    <row r="452">
      <c r="F452" s="2" t="n"/>
      <c r="G452" s="2" t="n"/>
    </row>
    <row r="453">
      <c r="F453" s="2" t="n"/>
      <c r="G453" s="2" t="n"/>
    </row>
    <row r="454">
      <c r="F454" s="2" t="n"/>
      <c r="G454" s="2" t="n"/>
    </row>
    <row r="455">
      <c r="F455" s="2" t="n"/>
      <c r="G455" s="2" t="n"/>
    </row>
    <row r="456">
      <c r="F456" s="2" t="n"/>
      <c r="G456" s="2" t="n"/>
    </row>
    <row r="457">
      <c r="F457" s="2" t="n"/>
      <c r="G457" s="2" t="n"/>
    </row>
    <row r="458">
      <c r="F458" s="2" t="n"/>
      <c r="G458" s="2" t="n"/>
    </row>
    <row r="459">
      <c r="F459" s="2" t="n"/>
      <c r="G459" s="2" t="n"/>
    </row>
    <row r="460">
      <c r="F460" s="2" t="n"/>
      <c r="G460" s="2" t="n"/>
    </row>
    <row r="461">
      <c r="F461" s="2" t="n"/>
      <c r="G461" s="2" t="n"/>
    </row>
    <row r="462">
      <c r="F462" s="2" t="n"/>
      <c r="G462" s="2" t="n"/>
    </row>
    <row r="463">
      <c r="F463" s="2" t="n"/>
      <c r="G463" s="2" t="n"/>
    </row>
    <row r="464">
      <c r="F464" s="2" t="n"/>
      <c r="G464" s="2" t="n"/>
    </row>
    <row r="465">
      <c r="F465" s="2" t="n"/>
      <c r="G465" s="2" t="n"/>
    </row>
    <row r="466">
      <c r="F466" s="2" t="n"/>
      <c r="G466" s="2" t="n"/>
    </row>
    <row r="467">
      <c r="F467" s="2" t="n"/>
      <c r="G467" s="2" t="n"/>
    </row>
    <row r="468">
      <c r="F468" s="2" t="n"/>
      <c r="G468" s="2" t="n"/>
    </row>
    <row r="469">
      <c r="F469" s="2" t="n"/>
      <c r="G469" s="2" t="n"/>
    </row>
    <row r="470">
      <c r="F470" s="2" t="n"/>
      <c r="G470" s="2" t="n"/>
    </row>
    <row r="471">
      <c r="F471" s="2" t="n"/>
      <c r="G471" s="2" t="n"/>
    </row>
    <row r="472">
      <c r="F472" s="2" t="n"/>
      <c r="G472" s="2" t="n"/>
    </row>
    <row r="473">
      <c r="F473" s="2" t="n"/>
      <c r="G473" s="2" t="n"/>
    </row>
    <row r="474">
      <c r="F474" s="2" t="n"/>
      <c r="G474" s="2" t="n"/>
    </row>
    <row r="475">
      <c r="F475" s="2" t="n"/>
      <c r="G475" s="2" t="n"/>
    </row>
    <row r="476">
      <c r="F476" s="2" t="n"/>
      <c r="G476" s="2" t="n"/>
    </row>
    <row r="477">
      <c r="F477" s="2" t="n"/>
      <c r="G477" s="2" t="n"/>
    </row>
    <row r="478">
      <c r="F478" s="2" t="n"/>
      <c r="G478" s="2" t="n"/>
    </row>
    <row r="479">
      <c r="F479" s="2" t="n"/>
      <c r="G479" s="2" t="n"/>
    </row>
    <row r="480">
      <c r="F480" s="2" t="n"/>
      <c r="G480" s="2" t="n"/>
    </row>
    <row r="481">
      <c r="F481" s="2" t="n"/>
      <c r="G481" s="2" t="n"/>
    </row>
    <row r="482">
      <c r="F482" s="2" t="n"/>
      <c r="G482" s="2" t="n"/>
    </row>
    <row r="483">
      <c r="F483" s="2" t="n"/>
      <c r="G483" s="2" t="n"/>
    </row>
    <row r="484">
      <c r="F484" s="2" t="n"/>
      <c r="G484" s="2" t="n"/>
    </row>
    <row r="485">
      <c r="F485" s="2" t="n"/>
      <c r="G485" s="2" t="n"/>
    </row>
    <row r="486">
      <c r="F486" s="2" t="n"/>
      <c r="G486" s="2" t="n"/>
    </row>
    <row r="487">
      <c r="F487" s="2" t="n"/>
      <c r="G487" s="2" t="n"/>
    </row>
    <row r="488">
      <c r="F488" s="2" t="n"/>
      <c r="G488" s="2" t="n"/>
    </row>
    <row r="489">
      <c r="F489" s="2" t="n"/>
      <c r="G489" s="2" t="n"/>
    </row>
    <row r="490">
      <c r="F490" s="2" t="n"/>
      <c r="G490" s="2" t="n"/>
    </row>
    <row r="491">
      <c r="F491" s="2" t="n"/>
      <c r="G491" s="2" t="n"/>
    </row>
    <row r="492">
      <c r="F492" s="2" t="n"/>
      <c r="G492" s="2" t="n"/>
    </row>
    <row r="493">
      <c r="F493" s="2" t="n"/>
      <c r="G493" s="2" t="n"/>
    </row>
    <row r="494">
      <c r="F494" s="2" t="n"/>
      <c r="G494" s="2" t="n"/>
    </row>
    <row r="495">
      <c r="F495" s="2" t="n"/>
      <c r="G495" s="2" t="n"/>
    </row>
    <row r="496">
      <c r="F496" s="2" t="n"/>
      <c r="G496" s="2" t="n"/>
    </row>
    <row r="497">
      <c r="F497" s="2" t="n"/>
      <c r="G497" s="2" t="n"/>
    </row>
    <row r="498">
      <c r="F498" s="2" t="n"/>
      <c r="G498" s="2" t="n"/>
    </row>
    <row r="499">
      <c r="F499" s="2" t="n"/>
      <c r="G499" s="2" t="n"/>
    </row>
    <row r="500">
      <c r="F500" s="2" t="n"/>
      <c r="G500" s="2" t="n"/>
    </row>
    <row r="501">
      <c r="F501" s="2" t="n"/>
      <c r="G501" s="2" t="n"/>
    </row>
  </sheetData>
  <dataValidations count="1">
    <dataValidation sqref="E2:E501" showDropDown="0" showInputMessage="0" showErrorMessage="0" allowBlank="1" errorTitle="Invalid Status" error="Please select a valid status" type="list">
      <formula1>"In Progress,Done"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hidden="1" width="12" customWidth="1" min="10" max="10"/>
    <col hidden="1" width="13" customWidth="1" min="11" max="11"/>
    <col hidden="1" width="13" customWidth="1" min="12" max="12"/>
  </cols>
  <sheetData>
    <row r="1">
      <c r="J1" t="inlineStr">
        <is>
          <t>LatestDate</t>
        </is>
      </c>
      <c r="K1" t="inlineStr">
        <is>
          <t>WeekStart</t>
        </is>
      </c>
      <c r="L1" t="inlineStr">
        <is>
          <t>WeekEnd</t>
        </is>
      </c>
    </row>
    <row r="2">
      <c r="A2" s="7">
        <f>"Week: "&amp;TEXT(K2,"dd-mm-yyyy")&amp;" - "&amp;TEXT(L2,"dd-mm-yyyy")</f>
        <v/>
      </c>
      <c r="J2">
        <f>MAX('Time Entries'!A:A)</f>
        <v/>
      </c>
      <c r="K2">
        <f>J2-WEEKDAY(J2,3)</f>
        <v/>
      </c>
      <c r="L2">
        <f>J2+6</f>
        <v/>
      </c>
    </row>
    <row r="4">
      <c r="A4" s="1" t="inlineStr">
        <is>
          <t>Task</t>
        </is>
      </c>
      <c r="B4" s="1" t="inlineStr">
        <is>
          <t>Category</t>
        </is>
      </c>
      <c r="C4" s="8">
        <f>J2+0</f>
        <v/>
      </c>
      <c r="D4" s="8">
        <f>K2+1</f>
        <v/>
      </c>
      <c r="E4" s="8">
        <f>L2+2</f>
        <v/>
      </c>
      <c r="F4" s="8">
        <f>M2+3</f>
        <v/>
      </c>
      <c r="G4" s="8">
        <f>N2+4</f>
        <v/>
      </c>
      <c r="H4" s="8">
        <f>O2+5</f>
        <v/>
      </c>
      <c r="I4" s="8">
        <f>P2+6</f>
        <v/>
      </c>
      <c r="J4" s="1" t="inlineStr">
        <is>
          <t>Total</t>
        </is>
      </c>
      <c r="O4" s="9">
        <f>K2+0</f>
        <v/>
      </c>
      <c r="P4" s="9">
        <f>K2+1</f>
        <v/>
      </c>
      <c r="Q4" s="9">
        <f>K2+2</f>
        <v/>
      </c>
      <c r="R4" s="9">
        <f>K2+3</f>
        <v/>
      </c>
      <c r="S4" s="9">
        <f>K2+4</f>
        <v/>
      </c>
      <c r="T4" s="9">
        <f>K2+5</f>
        <v/>
      </c>
      <c r="U4" s="9">
        <f>K2+6</f>
        <v/>
      </c>
    </row>
    <row r="5">
      <c r="A5">
        <f>IFERROR(INDEX('Time Entries'!$O:$O,MATCH(ROW()-4,'Time Entries'!$P:$P,0)),"")</f>
        <v/>
      </c>
      <c r="B5">
        <f>IF($A5="","",IFERROR(INDEX('Time Entries'!G:G,MATCH($A5,'Time Entries'!$O:$O,0)),""))</f>
        <v/>
      </c>
      <c r="C5" s="4">
        <f>IF($A5="","",SUMIFS('Time Entries'!J:J,'Time Entries'!O:O,$A5,'Time Entries'!A:A,$O$4+0))</f>
        <v/>
      </c>
      <c r="D5" s="4">
        <f>IF($A5="","",SUMIFS('Time Entries'!J:J,'Time Entries'!O:O,$A5,'Time Entries'!A:A,$O$4+1))</f>
        <v/>
      </c>
      <c r="E5" s="4">
        <f>IF($A5="","",SUMIFS('Time Entries'!J:J,'Time Entries'!O:O,$A5,'Time Entries'!A:A,$O$4+2))</f>
        <v/>
      </c>
      <c r="F5" s="4">
        <f>IF($A5="","",SUMIFS('Time Entries'!J:J,'Time Entries'!O:O,$A5,'Time Entries'!A:A,$O$4+3))</f>
        <v/>
      </c>
      <c r="G5" s="4">
        <f>IF($A5="","",SUMIFS('Time Entries'!J:J,'Time Entries'!O:O,$A5,'Time Entries'!A:A,$O$4+4))</f>
        <v/>
      </c>
      <c r="H5" s="4">
        <f>IF($A5="","",SUMIFS('Time Entries'!J:J,'Time Entries'!O:O,$A5,'Time Entries'!A:A,$O$4+5))</f>
        <v/>
      </c>
      <c r="I5" s="4">
        <f>IF($A5="","",SUMIFS('Time Entries'!J:J,'Time Entries'!O:O,$A5,'Time Entries'!A:A,$O$4+6))</f>
        <v/>
      </c>
      <c r="J5" s="4">
        <f>IF($A5="","",SUM(C5:I5))</f>
        <v/>
      </c>
    </row>
    <row r="6">
      <c r="A6">
        <f>IFERROR(INDEX('Time Entries'!$O:$O,MATCH(ROW()-4,'Time Entries'!$P:$P,0)),"")</f>
        <v/>
      </c>
      <c r="B6">
        <f>IF($A6="","",IFERROR(INDEX('Time Entries'!G:G,MATCH($A6,'Time Entries'!$O:$O,0)),""))</f>
        <v/>
      </c>
      <c r="C6" s="4">
        <f>IF($A6="","",SUMIFS('Time Entries'!J:J,'Time Entries'!O:O,$A6,'Time Entries'!A:A,$O$4+0))</f>
        <v/>
      </c>
      <c r="D6" s="4">
        <f>IF($A6="","",SUMIFS('Time Entries'!J:J,'Time Entries'!O:O,$A6,'Time Entries'!A:A,$O$4+1))</f>
        <v/>
      </c>
      <c r="E6" s="4">
        <f>IF($A6="","",SUMIFS('Time Entries'!J:J,'Time Entries'!O:O,$A6,'Time Entries'!A:A,$O$4+2))</f>
        <v/>
      </c>
      <c r="F6" s="4">
        <f>IF($A6="","",SUMIFS('Time Entries'!J:J,'Time Entries'!O:O,$A6,'Time Entries'!A:A,$O$4+3))</f>
        <v/>
      </c>
      <c r="G6" s="4">
        <f>IF($A6="","",SUMIFS('Time Entries'!J:J,'Time Entries'!O:O,$A6,'Time Entries'!A:A,$O$4+4))</f>
        <v/>
      </c>
      <c r="H6" s="4">
        <f>IF($A6="","",SUMIFS('Time Entries'!J:J,'Time Entries'!O:O,$A6,'Time Entries'!A:A,$O$4+5))</f>
        <v/>
      </c>
      <c r="I6" s="4">
        <f>IF($A6="","",SUMIFS('Time Entries'!J:J,'Time Entries'!O:O,$A6,'Time Entries'!A:A,$O$4+6))</f>
        <v/>
      </c>
      <c r="J6" s="4">
        <f>IF($A6="","",SUM(C6:I6))</f>
        <v/>
      </c>
    </row>
    <row r="7">
      <c r="A7">
        <f>IFERROR(INDEX('Time Entries'!$O:$O,MATCH(ROW()-4,'Time Entries'!$P:$P,0)),"")</f>
        <v/>
      </c>
      <c r="B7">
        <f>IF($A7="","",IFERROR(INDEX('Time Entries'!G:G,MATCH($A7,'Time Entries'!$O:$O,0)),""))</f>
        <v/>
      </c>
      <c r="C7" s="4">
        <f>IF($A7="","",SUMIFS('Time Entries'!J:J,'Time Entries'!O:O,$A7,'Time Entries'!A:A,$O$4+0))</f>
        <v/>
      </c>
      <c r="D7" s="4">
        <f>IF($A7="","",SUMIFS('Time Entries'!J:J,'Time Entries'!O:O,$A7,'Time Entries'!A:A,$O$4+1))</f>
        <v/>
      </c>
      <c r="E7" s="4">
        <f>IF($A7="","",SUMIFS('Time Entries'!J:J,'Time Entries'!O:O,$A7,'Time Entries'!A:A,$O$4+2))</f>
        <v/>
      </c>
      <c r="F7" s="4">
        <f>IF($A7="","",SUMIFS('Time Entries'!J:J,'Time Entries'!O:O,$A7,'Time Entries'!A:A,$O$4+3))</f>
        <v/>
      </c>
      <c r="G7" s="4">
        <f>IF($A7="","",SUMIFS('Time Entries'!J:J,'Time Entries'!O:O,$A7,'Time Entries'!A:A,$O$4+4))</f>
        <v/>
      </c>
      <c r="H7" s="4">
        <f>IF($A7="","",SUMIFS('Time Entries'!J:J,'Time Entries'!O:O,$A7,'Time Entries'!A:A,$O$4+5))</f>
        <v/>
      </c>
      <c r="I7" s="4">
        <f>IF($A7="","",SUMIFS('Time Entries'!J:J,'Time Entries'!O:O,$A7,'Time Entries'!A:A,$O$4+6))</f>
        <v/>
      </c>
      <c r="J7" s="4">
        <f>IF($A7="","",SUM(C7:I7))</f>
        <v/>
      </c>
    </row>
    <row r="8">
      <c r="A8">
        <f>IFERROR(INDEX('Time Entries'!$O:$O,MATCH(ROW()-4,'Time Entries'!$P:$P,0)),"")</f>
        <v/>
      </c>
      <c r="B8">
        <f>IF($A8="","",IFERROR(INDEX('Time Entries'!G:G,MATCH($A8,'Time Entries'!$O:$O,0)),""))</f>
        <v/>
      </c>
      <c r="C8" s="4">
        <f>IF($A8="","",SUMIFS('Time Entries'!J:J,'Time Entries'!O:O,$A8,'Time Entries'!A:A,$O$4+0))</f>
        <v/>
      </c>
      <c r="D8" s="4">
        <f>IF($A8="","",SUMIFS('Time Entries'!J:J,'Time Entries'!O:O,$A8,'Time Entries'!A:A,$O$4+1))</f>
        <v/>
      </c>
      <c r="E8" s="4">
        <f>IF($A8="","",SUMIFS('Time Entries'!J:J,'Time Entries'!O:O,$A8,'Time Entries'!A:A,$O$4+2))</f>
        <v/>
      </c>
      <c r="F8" s="4">
        <f>IF($A8="","",SUMIFS('Time Entries'!J:J,'Time Entries'!O:O,$A8,'Time Entries'!A:A,$O$4+3))</f>
        <v/>
      </c>
      <c r="G8" s="4">
        <f>IF($A8="","",SUMIFS('Time Entries'!J:J,'Time Entries'!O:O,$A8,'Time Entries'!A:A,$O$4+4))</f>
        <v/>
      </c>
      <c r="H8" s="4">
        <f>IF($A8="","",SUMIFS('Time Entries'!J:J,'Time Entries'!O:O,$A8,'Time Entries'!A:A,$O$4+5))</f>
        <v/>
      </c>
      <c r="I8" s="4">
        <f>IF($A8="","",SUMIFS('Time Entries'!J:J,'Time Entries'!O:O,$A8,'Time Entries'!A:A,$O$4+6))</f>
        <v/>
      </c>
      <c r="J8" s="4">
        <f>IF($A8="","",SUM(C8:I8))</f>
        <v/>
      </c>
    </row>
    <row r="9">
      <c r="A9">
        <f>IFERROR(INDEX('Time Entries'!$O:$O,MATCH(ROW()-4,'Time Entries'!$P:$P,0)),"")</f>
        <v/>
      </c>
      <c r="B9">
        <f>IF($A9="","",IFERROR(INDEX('Time Entries'!G:G,MATCH($A9,'Time Entries'!$O:$O,0)),""))</f>
        <v/>
      </c>
      <c r="C9" s="4">
        <f>IF($A9="","",SUMIFS('Time Entries'!J:J,'Time Entries'!O:O,$A9,'Time Entries'!A:A,$O$4+0))</f>
        <v/>
      </c>
      <c r="D9" s="4">
        <f>IF($A9="","",SUMIFS('Time Entries'!J:J,'Time Entries'!O:O,$A9,'Time Entries'!A:A,$O$4+1))</f>
        <v/>
      </c>
      <c r="E9" s="4">
        <f>IF($A9="","",SUMIFS('Time Entries'!J:J,'Time Entries'!O:O,$A9,'Time Entries'!A:A,$O$4+2))</f>
        <v/>
      </c>
      <c r="F9" s="4">
        <f>IF($A9="","",SUMIFS('Time Entries'!J:J,'Time Entries'!O:O,$A9,'Time Entries'!A:A,$O$4+3))</f>
        <v/>
      </c>
      <c r="G9" s="4">
        <f>IF($A9="","",SUMIFS('Time Entries'!J:J,'Time Entries'!O:O,$A9,'Time Entries'!A:A,$O$4+4))</f>
        <v/>
      </c>
      <c r="H9" s="4">
        <f>IF($A9="","",SUMIFS('Time Entries'!J:J,'Time Entries'!O:O,$A9,'Time Entries'!A:A,$O$4+5))</f>
        <v/>
      </c>
      <c r="I9" s="4">
        <f>IF($A9="","",SUMIFS('Time Entries'!J:J,'Time Entries'!O:O,$A9,'Time Entries'!A:A,$O$4+6))</f>
        <v/>
      </c>
      <c r="J9" s="4">
        <f>IF($A9="","",SUM(C9:I9))</f>
        <v/>
      </c>
    </row>
    <row r="10">
      <c r="A10">
        <f>IFERROR(INDEX('Time Entries'!$O:$O,MATCH(ROW()-4,'Time Entries'!$P:$P,0)),"")</f>
        <v/>
      </c>
      <c r="B10">
        <f>IF($A10="","",IFERROR(INDEX('Time Entries'!G:G,MATCH($A10,'Time Entries'!$O:$O,0)),""))</f>
        <v/>
      </c>
      <c r="C10" s="4">
        <f>IF($A10="","",SUMIFS('Time Entries'!J:J,'Time Entries'!O:O,$A10,'Time Entries'!A:A,$O$4+0))</f>
        <v/>
      </c>
      <c r="D10" s="4">
        <f>IF($A10="","",SUMIFS('Time Entries'!J:J,'Time Entries'!O:O,$A10,'Time Entries'!A:A,$O$4+1))</f>
        <v/>
      </c>
      <c r="E10" s="4">
        <f>IF($A10="","",SUMIFS('Time Entries'!J:J,'Time Entries'!O:O,$A10,'Time Entries'!A:A,$O$4+2))</f>
        <v/>
      </c>
      <c r="F10" s="4">
        <f>IF($A10="","",SUMIFS('Time Entries'!J:J,'Time Entries'!O:O,$A10,'Time Entries'!A:A,$O$4+3))</f>
        <v/>
      </c>
      <c r="G10" s="4">
        <f>IF($A10="","",SUMIFS('Time Entries'!J:J,'Time Entries'!O:O,$A10,'Time Entries'!A:A,$O$4+4))</f>
        <v/>
      </c>
      <c r="H10" s="4">
        <f>IF($A10="","",SUMIFS('Time Entries'!J:J,'Time Entries'!O:O,$A10,'Time Entries'!A:A,$O$4+5))</f>
        <v/>
      </c>
      <c r="I10" s="4">
        <f>IF($A10="","",SUMIFS('Time Entries'!J:J,'Time Entries'!O:O,$A10,'Time Entries'!A:A,$O$4+6))</f>
        <v/>
      </c>
      <c r="J10" s="4">
        <f>IF($A10="","",SUM(C10:I10))</f>
        <v/>
      </c>
    </row>
    <row r="11">
      <c r="A11">
        <f>IFERROR(INDEX('Time Entries'!$O:$O,MATCH(ROW()-4,'Time Entries'!$P:$P,0)),"")</f>
        <v/>
      </c>
      <c r="B11">
        <f>IF($A11="","",IFERROR(INDEX('Time Entries'!G:G,MATCH($A11,'Time Entries'!$O:$O,0)),""))</f>
        <v/>
      </c>
      <c r="C11" s="4">
        <f>IF($A11="","",SUMIFS('Time Entries'!J:J,'Time Entries'!O:O,$A11,'Time Entries'!A:A,$O$4+0))</f>
        <v/>
      </c>
      <c r="D11" s="4">
        <f>IF($A11="","",SUMIFS('Time Entries'!J:J,'Time Entries'!O:O,$A11,'Time Entries'!A:A,$O$4+1))</f>
        <v/>
      </c>
      <c r="E11" s="4">
        <f>IF($A11="","",SUMIFS('Time Entries'!J:J,'Time Entries'!O:O,$A11,'Time Entries'!A:A,$O$4+2))</f>
        <v/>
      </c>
      <c r="F11" s="4">
        <f>IF($A11="","",SUMIFS('Time Entries'!J:J,'Time Entries'!O:O,$A11,'Time Entries'!A:A,$O$4+3))</f>
        <v/>
      </c>
      <c r="G11" s="4">
        <f>IF($A11="","",SUMIFS('Time Entries'!J:J,'Time Entries'!O:O,$A11,'Time Entries'!A:A,$O$4+4))</f>
        <v/>
      </c>
      <c r="H11" s="4">
        <f>IF($A11="","",SUMIFS('Time Entries'!J:J,'Time Entries'!O:O,$A11,'Time Entries'!A:A,$O$4+5))</f>
        <v/>
      </c>
      <c r="I11" s="4">
        <f>IF($A11="","",SUMIFS('Time Entries'!J:J,'Time Entries'!O:O,$A11,'Time Entries'!A:A,$O$4+6))</f>
        <v/>
      </c>
      <c r="J11" s="4">
        <f>IF($A11="","",SUM(C11:I11))</f>
        <v/>
      </c>
    </row>
    <row r="12">
      <c r="A12">
        <f>IFERROR(INDEX('Time Entries'!$O:$O,MATCH(ROW()-4,'Time Entries'!$P:$P,0)),"")</f>
        <v/>
      </c>
      <c r="B12">
        <f>IF($A12="","",IFERROR(INDEX('Time Entries'!G:G,MATCH($A12,'Time Entries'!$O:$O,0)),""))</f>
        <v/>
      </c>
      <c r="C12" s="4">
        <f>IF($A12="","",SUMIFS('Time Entries'!J:J,'Time Entries'!O:O,$A12,'Time Entries'!A:A,$O$4+0))</f>
        <v/>
      </c>
      <c r="D12" s="4">
        <f>IF($A12="","",SUMIFS('Time Entries'!J:J,'Time Entries'!O:O,$A12,'Time Entries'!A:A,$O$4+1))</f>
        <v/>
      </c>
      <c r="E12" s="4">
        <f>IF($A12="","",SUMIFS('Time Entries'!J:J,'Time Entries'!O:O,$A12,'Time Entries'!A:A,$O$4+2))</f>
        <v/>
      </c>
      <c r="F12" s="4">
        <f>IF($A12="","",SUMIFS('Time Entries'!J:J,'Time Entries'!O:O,$A12,'Time Entries'!A:A,$O$4+3))</f>
        <v/>
      </c>
      <c r="G12" s="4">
        <f>IF($A12="","",SUMIFS('Time Entries'!J:J,'Time Entries'!O:O,$A12,'Time Entries'!A:A,$O$4+4))</f>
        <v/>
      </c>
      <c r="H12" s="4">
        <f>IF($A12="","",SUMIFS('Time Entries'!J:J,'Time Entries'!O:O,$A12,'Time Entries'!A:A,$O$4+5))</f>
        <v/>
      </c>
      <c r="I12" s="4">
        <f>IF($A12="","",SUMIFS('Time Entries'!J:J,'Time Entries'!O:O,$A12,'Time Entries'!A:A,$O$4+6))</f>
        <v/>
      </c>
      <c r="J12" s="4">
        <f>IF($A12="","",SUM(C12:I12))</f>
        <v/>
      </c>
    </row>
    <row r="13">
      <c r="A13">
        <f>IFERROR(INDEX('Time Entries'!$O:$O,MATCH(ROW()-4,'Time Entries'!$P:$P,0)),"")</f>
        <v/>
      </c>
      <c r="B13">
        <f>IF($A13="","",IFERROR(INDEX('Time Entries'!G:G,MATCH($A13,'Time Entries'!$O:$O,0)),""))</f>
        <v/>
      </c>
      <c r="C13" s="4">
        <f>IF($A13="","",SUMIFS('Time Entries'!J:J,'Time Entries'!O:O,$A13,'Time Entries'!A:A,$O$4+0))</f>
        <v/>
      </c>
      <c r="D13" s="4">
        <f>IF($A13="","",SUMIFS('Time Entries'!J:J,'Time Entries'!O:O,$A13,'Time Entries'!A:A,$O$4+1))</f>
        <v/>
      </c>
      <c r="E13" s="4">
        <f>IF($A13="","",SUMIFS('Time Entries'!J:J,'Time Entries'!O:O,$A13,'Time Entries'!A:A,$O$4+2))</f>
        <v/>
      </c>
      <c r="F13" s="4">
        <f>IF($A13="","",SUMIFS('Time Entries'!J:J,'Time Entries'!O:O,$A13,'Time Entries'!A:A,$O$4+3))</f>
        <v/>
      </c>
      <c r="G13" s="4">
        <f>IF($A13="","",SUMIFS('Time Entries'!J:J,'Time Entries'!O:O,$A13,'Time Entries'!A:A,$O$4+4))</f>
        <v/>
      </c>
      <c r="H13" s="4">
        <f>IF($A13="","",SUMIFS('Time Entries'!J:J,'Time Entries'!O:O,$A13,'Time Entries'!A:A,$O$4+5))</f>
        <v/>
      </c>
      <c r="I13" s="4">
        <f>IF($A13="","",SUMIFS('Time Entries'!J:J,'Time Entries'!O:O,$A13,'Time Entries'!A:A,$O$4+6))</f>
        <v/>
      </c>
      <c r="J13" s="4">
        <f>IF($A13="","",SUM(C13:I13))</f>
        <v/>
      </c>
    </row>
    <row r="14">
      <c r="A14">
        <f>IFERROR(INDEX('Time Entries'!$O:$O,MATCH(ROW()-4,'Time Entries'!$P:$P,0)),"")</f>
        <v/>
      </c>
      <c r="B14">
        <f>IF($A14="","",IFERROR(INDEX('Time Entries'!G:G,MATCH($A14,'Time Entries'!$O:$O,0)),""))</f>
        <v/>
      </c>
      <c r="C14" s="4">
        <f>IF($A14="","",SUMIFS('Time Entries'!J:J,'Time Entries'!O:O,$A14,'Time Entries'!A:A,$O$4+0))</f>
        <v/>
      </c>
      <c r="D14" s="4">
        <f>IF($A14="","",SUMIFS('Time Entries'!J:J,'Time Entries'!O:O,$A14,'Time Entries'!A:A,$O$4+1))</f>
        <v/>
      </c>
      <c r="E14" s="4">
        <f>IF($A14="","",SUMIFS('Time Entries'!J:J,'Time Entries'!O:O,$A14,'Time Entries'!A:A,$O$4+2))</f>
        <v/>
      </c>
      <c r="F14" s="4">
        <f>IF($A14="","",SUMIFS('Time Entries'!J:J,'Time Entries'!O:O,$A14,'Time Entries'!A:A,$O$4+3))</f>
        <v/>
      </c>
      <c r="G14" s="4">
        <f>IF($A14="","",SUMIFS('Time Entries'!J:J,'Time Entries'!O:O,$A14,'Time Entries'!A:A,$O$4+4))</f>
        <v/>
      </c>
      <c r="H14" s="4">
        <f>IF($A14="","",SUMIFS('Time Entries'!J:J,'Time Entries'!O:O,$A14,'Time Entries'!A:A,$O$4+5))</f>
        <v/>
      </c>
      <c r="I14" s="4">
        <f>IF($A14="","",SUMIFS('Time Entries'!J:J,'Time Entries'!O:O,$A14,'Time Entries'!A:A,$O$4+6))</f>
        <v/>
      </c>
      <c r="J14" s="4">
        <f>IF($A14="","",SUM(C14:I14))</f>
        <v/>
      </c>
    </row>
    <row r="15">
      <c r="A15">
        <f>IFERROR(INDEX('Time Entries'!$O:$O,MATCH(ROW()-4,'Time Entries'!$P:$P,0)),"")</f>
        <v/>
      </c>
      <c r="B15">
        <f>IF($A15="","",IFERROR(INDEX('Time Entries'!G:G,MATCH($A15,'Time Entries'!$O:$O,0)),""))</f>
        <v/>
      </c>
      <c r="C15" s="4">
        <f>IF($A15="","",SUMIFS('Time Entries'!J:J,'Time Entries'!O:O,$A15,'Time Entries'!A:A,$O$4+0))</f>
        <v/>
      </c>
      <c r="D15" s="4">
        <f>IF($A15="","",SUMIFS('Time Entries'!J:J,'Time Entries'!O:O,$A15,'Time Entries'!A:A,$O$4+1))</f>
        <v/>
      </c>
      <c r="E15" s="4">
        <f>IF($A15="","",SUMIFS('Time Entries'!J:J,'Time Entries'!O:O,$A15,'Time Entries'!A:A,$O$4+2))</f>
        <v/>
      </c>
      <c r="F15" s="4">
        <f>IF($A15="","",SUMIFS('Time Entries'!J:J,'Time Entries'!O:O,$A15,'Time Entries'!A:A,$O$4+3))</f>
        <v/>
      </c>
      <c r="G15" s="4">
        <f>IF($A15="","",SUMIFS('Time Entries'!J:J,'Time Entries'!O:O,$A15,'Time Entries'!A:A,$O$4+4))</f>
        <v/>
      </c>
      <c r="H15" s="4">
        <f>IF($A15="","",SUMIFS('Time Entries'!J:J,'Time Entries'!O:O,$A15,'Time Entries'!A:A,$O$4+5))</f>
        <v/>
      </c>
      <c r="I15" s="4">
        <f>IF($A15="","",SUMIFS('Time Entries'!J:J,'Time Entries'!O:O,$A15,'Time Entries'!A:A,$O$4+6))</f>
        <v/>
      </c>
      <c r="J15" s="4">
        <f>IF($A15="","",SUM(C15:I15))</f>
        <v/>
      </c>
    </row>
    <row r="16">
      <c r="A16">
        <f>IFERROR(INDEX('Time Entries'!$O:$O,MATCH(ROW()-4,'Time Entries'!$P:$P,0)),"")</f>
        <v/>
      </c>
      <c r="B16">
        <f>IF($A16="","",IFERROR(INDEX('Time Entries'!G:G,MATCH($A16,'Time Entries'!$O:$O,0)),""))</f>
        <v/>
      </c>
      <c r="C16" s="4">
        <f>IF($A16="","",SUMIFS('Time Entries'!J:J,'Time Entries'!O:O,$A16,'Time Entries'!A:A,$O$4+0))</f>
        <v/>
      </c>
      <c r="D16" s="4">
        <f>IF($A16="","",SUMIFS('Time Entries'!J:J,'Time Entries'!O:O,$A16,'Time Entries'!A:A,$O$4+1))</f>
        <v/>
      </c>
      <c r="E16" s="4">
        <f>IF($A16="","",SUMIFS('Time Entries'!J:J,'Time Entries'!O:O,$A16,'Time Entries'!A:A,$O$4+2))</f>
        <v/>
      </c>
      <c r="F16" s="4">
        <f>IF($A16="","",SUMIFS('Time Entries'!J:J,'Time Entries'!O:O,$A16,'Time Entries'!A:A,$O$4+3))</f>
        <v/>
      </c>
      <c r="G16" s="4">
        <f>IF($A16="","",SUMIFS('Time Entries'!J:J,'Time Entries'!O:O,$A16,'Time Entries'!A:A,$O$4+4))</f>
        <v/>
      </c>
      <c r="H16" s="4">
        <f>IF($A16="","",SUMIFS('Time Entries'!J:J,'Time Entries'!O:O,$A16,'Time Entries'!A:A,$O$4+5))</f>
        <v/>
      </c>
      <c r="I16" s="4">
        <f>IF($A16="","",SUMIFS('Time Entries'!J:J,'Time Entries'!O:O,$A16,'Time Entries'!A:A,$O$4+6))</f>
        <v/>
      </c>
      <c r="J16" s="4">
        <f>IF($A16="","",SUM(C16:I16))</f>
        <v/>
      </c>
    </row>
    <row r="17">
      <c r="A17">
        <f>IFERROR(INDEX('Time Entries'!$O:$O,MATCH(ROW()-4,'Time Entries'!$P:$P,0)),"")</f>
        <v/>
      </c>
      <c r="B17">
        <f>IF($A17="","",IFERROR(INDEX('Time Entries'!G:G,MATCH($A17,'Time Entries'!$O:$O,0)),""))</f>
        <v/>
      </c>
      <c r="C17" s="4">
        <f>IF($A17="","",SUMIFS('Time Entries'!J:J,'Time Entries'!O:O,$A17,'Time Entries'!A:A,$O$4+0))</f>
        <v/>
      </c>
      <c r="D17" s="4">
        <f>IF($A17="","",SUMIFS('Time Entries'!J:J,'Time Entries'!O:O,$A17,'Time Entries'!A:A,$O$4+1))</f>
        <v/>
      </c>
      <c r="E17" s="4">
        <f>IF($A17="","",SUMIFS('Time Entries'!J:J,'Time Entries'!O:O,$A17,'Time Entries'!A:A,$O$4+2))</f>
        <v/>
      </c>
      <c r="F17" s="4">
        <f>IF($A17="","",SUMIFS('Time Entries'!J:J,'Time Entries'!O:O,$A17,'Time Entries'!A:A,$O$4+3))</f>
        <v/>
      </c>
      <c r="G17" s="4">
        <f>IF($A17="","",SUMIFS('Time Entries'!J:J,'Time Entries'!O:O,$A17,'Time Entries'!A:A,$O$4+4))</f>
        <v/>
      </c>
      <c r="H17" s="4">
        <f>IF($A17="","",SUMIFS('Time Entries'!J:J,'Time Entries'!O:O,$A17,'Time Entries'!A:A,$O$4+5))</f>
        <v/>
      </c>
      <c r="I17" s="4">
        <f>IF($A17="","",SUMIFS('Time Entries'!J:J,'Time Entries'!O:O,$A17,'Time Entries'!A:A,$O$4+6))</f>
        <v/>
      </c>
      <c r="J17" s="4">
        <f>IF($A17="","",SUM(C17:I17))</f>
        <v/>
      </c>
    </row>
    <row r="18">
      <c r="A18">
        <f>IFERROR(INDEX('Time Entries'!$O:$O,MATCH(ROW()-4,'Time Entries'!$P:$P,0)),"")</f>
        <v/>
      </c>
      <c r="B18">
        <f>IF($A18="","",IFERROR(INDEX('Time Entries'!G:G,MATCH($A18,'Time Entries'!$O:$O,0)),""))</f>
        <v/>
      </c>
      <c r="C18" s="4">
        <f>IF($A18="","",SUMIFS('Time Entries'!J:J,'Time Entries'!O:O,$A18,'Time Entries'!A:A,$O$4+0))</f>
        <v/>
      </c>
      <c r="D18" s="4">
        <f>IF($A18="","",SUMIFS('Time Entries'!J:J,'Time Entries'!O:O,$A18,'Time Entries'!A:A,$O$4+1))</f>
        <v/>
      </c>
      <c r="E18" s="4">
        <f>IF($A18="","",SUMIFS('Time Entries'!J:J,'Time Entries'!O:O,$A18,'Time Entries'!A:A,$O$4+2))</f>
        <v/>
      </c>
      <c r="F18" s="4">
        <f>IF($A18="","",SUMIFS('Time Entries'!J:J,'Time Entries'!O:O,$A18,'Time Entries'!A:A,$O$4+3))</f>
        <v/>
      </c>
      <c r="G18" s="4">
        <f>IF($A18="","",SUMIFS('Time Entries'!J:J,'Time Entries'!O:O,$A18,'Time Entries'!A:A,$O$4+4))</f>
        <v/>
      </c>
      <c r="H18" s="4">
        <f>IF($A18="","",SUMIFS('Time Entries'!J:J,'Time Entries'!O:O,$A18,'Time Entries'!A:A,$O$4+5))</f>
        <v/>
      </c>
      <c r="I18" s="4">
        <f>IF($A18="","",SUMIFS('Time Entries'!J:J,'Time Entries'!O:O,$A18,'Time Entries'!A:A,$O$4+6))</f>
        <v/>
      </c>
      <c r="J18" s="4">
        <f>IF($A18="","",SUM(C18:I18))</f>
        <v/>
      </c>
    </row>
    <row r="19">
      <c r="A19">
        <f>IFERROR(INDEX('Time Entries'!$O:$O,MATCH(ROW()-4,'Time Entries'!$P:$P,0)),"")</f>
        <v/>
      </c>
      <c r="B19">
        <f>IF($A19="","",IFERROR(INDEX('Time Entries'!G:G,MATCH($A19,'Time Entries'!$O:$O,0)),""))</f>
        <v/>
      </c>
      <c r="C19" s="4">
        <f>IF($A19="","",SUMIFS('Time Entries'!J:J,'Time Entries'!O:O,$A19,'Time Entries'!A:A,$O$4+0))</f>
        <v/>
      </c>
      <c r="D19" s="4">
        <f>IF($A19="","",SUMIFS('Time Entries'!J:J,'Time Entries'!O:O,$A19,'Time Entries'!A:A,$O$4+1))</f>
        <v/>
      </c>
      <c r="E19" s="4">
        <f>IF($A19="","",SUMIFS('Time Entries'!J:J,'Time Entries'!O:O,$A19,'Time Entries'!A:A,$O$4+2))</f>
        <v/>
      </c>
      <c r="F19" s="4">
        <f>IF($A19="","",SUMIFS('Time Entries'!J:J,'Time Entries'!O:O,$A19,'Time Entries'!A:A,$O$4+3))</f>
        <v/>
      </c>
      <c r="G19" s="4">
        <f>IF($A19="","",SUMIFS('Time Entries'!J:J,'Time Entries'!O:O,$A19,'Time Entries'!A:A,$O$4+4))</f>
        <v/>
      </c>
      <c r="H19" s="4">
        <f>IF($A19="","",SUMIFS('Time Entries'!J:J,'Time Entries'!O:O,$A19,'Time Entries'!A:A,$O$4+5))</f>
        <v/>
      </c>
      <c r="I19" s="4">
        <f>IF($A19="","",SUMIFS('Time Entries'!J:J,'Time Entries'!O:O,$A19,'Time Entries'!A:A,$O$4+6))</f>
        <v/>
      </c>
      <c r="J19" s="4">
        <f>IF($A19="","",SUM(C19:I19))</f>
        <v/>
      </c>
    </row>
    <row r="20">
      <c r="A20">
        <f>IFERROR(INDEX('Time Entries'!$O:$O,MATCH(ROW()-4,'Time Entries'!$P:$P,0)),"")</f>
        <v/>
      </c>
      <c r="B20">
        <f>IF($A20="","",IFERROR(INDEX('Time Entries'!G:G,MATCH($A20,'Time Entries'!$O:$O,0)),""))</f>
        <v/>
      </c>
      <c r="C20" s="4">
        <f>IF($A20="","",SUMIFS('Time Entries'!J:J,'Time Entries'!O:O,$A20,'Time Entries'!A:A,$O$4+0))</f>
        <v/>
      </c>
      <c r="D20" s="4">
        <f>IF($A20="","",SUMIFS('Time Entries'!J:J,'Time Entries'!O:O,$A20,'Time Entries'!A:A,$O$4+1))</f>
        <v/>
      </c>
      <c r="E20" s="4">
        <f>IF($A20="","",SUMIFS('Time Entries'!J:J,'Time Entries'!O:O,$A20,'Time Entries'!A:A,$O$4+2))</f>
        <v/>
      </c>
      <c r="F20" s="4">
        <f>IF($A20="","",SUMIFS('Time Entries'!J:J,'Time Entries'!O:O,$A20,'Time Entries'!A:A,$O$4+3))</f>
        <v/>
      </c>
      <c r="G20" s="4">
        <f>IF($A20="","",SUMIFS('Time Entries'!J:J,'Time Entries'!O:O,$A20,'Time Entries'!A:A,$O$4+4))</f>
        <v/>
      </c>
      <c r="H20" s="4">
        <f>IF($A20="","",SUMIFS('Time Entries'!J:J,'Time Entries'!O:O,$A20,'Time Entries'!A:A,$O$4+5))</f>
        <v/>
      </c>
      <c r="I20" s="4">
        <f>IF($A20="","",SUMIFS('Time Entries'!J:J,'Time Entries'!O:O,$A20,'Time Entries'!A:A,$O$4+6))</f>
        <v/>
      </c>
      <c r="J20" s="4">
        <f>IF($A20="","",SUM(C20:I20))</f>
        <v/>
      </c>
    </row>
    <row r="21">
      <c r="A21">
        <f>IFERROR(INDEX('Time Entries'!$O:$O,MATCH(ROW()-4,'Time Entries'!$P:$P,0)),"")</f>
        <v/>
      </c>
      <c r="B21">
        <f>IF($A21="","",IFERROR(INDEX('Time Entries'!G:G,MATCH($A21,'Time Entries'!$O:$O,0)),""))</f>
        <v/>
      </c>
      <c r="C21" s="4">
        <f>IF($A21="","",SUMIFS('Time Entries'!J:J,'Time Entries'!O:O,$A21,'Time Entries'!A:A,$O$4+0))</f>
        <v/>
      </c>
      <c r="D21" s="4">
        <f>IF($A21="","",SUMIFS('Time Entries'!J:J,'Time Entries'!O:O,$A21,'Time Entries'!A:A,$O$4+1))</f>
        <v/>
      </c>
      <c r="E21" s="4">
        <f>IF($A21="","",SUMIFS('Time Entries'!J:J,'Time Entries'!O:O,$A21,'Time Entries'!A:A,$O$4+2))</f>
        <v/>
      </c>
      <c r="F21" s="4">
        <f>IF($A21="","",SUMIFS('Time Entries'!J:J,'Time Entries'!O:O,$A21,'Time Entries'!A:A,$O$4+3))</f>
        <v/>
      </c>
      <c r="G21" s="4">
        <f>IF($A21="","",SUMIFS('Time Entries'!J:J,'Time Entries'!O:O,$A21,'Time Entries'!A:A,$O$4+4))</f>
        <v/>
      </c>
      <c r="H21" s="4">
        <f>IF($A21="","",SUMIFS('Time Entries'!J:J,'Time Entries'!O:O,$A21,'Time Entries'!A:A,$O$4+5))</f>
        <v/>
      </c>
      <c r="I21" s="4">
        <f>IF($A21="","",SUMIFS('Time Entries'!J:J,'Time Entries'!O:O,$A21,'Time Entries'!A:A,$O$4+6))</f>
        <v/>
      </c>
      <c r="J21" s="4">
        <f>IF($A21="","",SUM(C21:I21))</f>
        <v/>
      </c>
    </row>
    <row r="22">
      <c r="A22">
        <f>IFERROR(INDEX('Time Entries'!$O:$O,MATCH(ROW()-4,'Time Entries'!$P:$P,0)),"")</f>
        <v/>
      </c>
      <c r="B22">
        <f>IF($A22="","",IFERROR(INDEX('Time Entries'!G:G,MATCH($A22,'Time Entries'!$O:$O,0)),""))</f>
        <v/>
      </c>
      <c r="C22" s="4">
        <f>IF($A22="","",SUMIFS('Time Entries'!J:J,'Time Entries'!O:O,$A22,'Time Entries'!A:A,$O$4+0))</f>
        <v/>
      </c>
      <c r="D22" s="4">
        <f>IF($A22="","",SUMIFS('Time Entries'!J:J,'Time Entries'!O:O,$A22,'Time Entries'!A:A,$O$4+1))</f>
        <v/>
      </c>
      <c r="E22" s="4">
        <f>IF($A22="","",SUMIFS('Time Entries'!J:J,'Time Entries'!O:O,$A22,'Time Entries'!A:A,$O$4+2))</f>
        <v/>
      </c>
      <c r="F22" s="4">
        <f>IF($A22="","",SUMIFS('Time Entries'!J:J,'Time Entries'!O:O,$A22,'Time Entries'!A:A,$O$4+3))</f>
        <v/>
      </c>
      <c r="G22" s="4">
        <f>IF($A22="","",SUMIFS('Time Entries'!J:J,'Time Entries'!O:O,$A22,'Time Entries'!A:A,$O$4+4))</f>
        <v/>
      </c>
      <c r="H22" s="4">
        <f>IF($A22="","",SUMIFS('Time Entries'!J:J,'Time Entries'!O:O,$A22,'Time Entries'!A:A,$O$4+5))</f>
        <v/>
      </c>
      <c r="I22" s="4">
        <f>IF($A22="","",SUMIFS('Time Entries'!J:J,'Time Entries'!O:O,$A22,'Time Entries'!A:A,$O$4+6))</f>
        <v/>
      </c>
      <c r="J22" s="4">
        <f>IF($A22="","",SUM(C22:I22))</f>
        <v/>
      </c>
    </row>
    <row r="23">
      <c r="A23">
        <f>IFERROR(INDEX('Time Entries'!$O:$O,MATCH(ROW()-4,'Time Entries'!$P:$P,0)),"")</f>
        <v/>
      </c>
      <c r="B23">
        <f>IF($A23="","",IFERROR(INDEX('Time Entries'!G:G,MATCH($A23,'Time Entries'!$O:$O,0)),""))</f>
        <v/>
      </c>
      <c r="C23" s="4">
        <f>IF($A23="","",SUMIFS('Time Entries'!J:J,'Time Entries'!O:O,$A23,'Time Entries'!A:A,$O$4+0))</f>
        <v/>
      </c>
      <c r="D23" s="4">
        <f>IF($A23="","",SUMIFS('Time Entries'!J:J,'Time Entries'!O:O,$A23,'Time Entries'!A:A,$O$4+1))</f>
        <v/>
      </c>
      <c r="E23" s="4">
        <f>IF($A23="","",SUMIFS('Time Entries'!J:J,'Time Entries'!O:O,$A23,'Time Entries'!A:A,$O$4+2))</f>
        <v/>
      </c>
      <c r="F23" s="4">
        <f>IF($A23="","",SUMIFS('Time Entries'!J:J,'Time Entries'!O:O,$A23,'Time Entries'!A:A,$O$4+3))</f>
        <v/>
      </c>
      <c r="G23" s="4">
        <f>IF($A23="","",SUMIFS('Time Entries'!J:J,'Time Entries'!O:O,$A23,'Time Entries'!A:A,$O$4+4))</f>
        <v/>
      </c>
      <c r="H23" s="4">
        <f>IF($A23="","",SUMIFS('Time Entries'!J:J,'Time Entries'!O:O,$A23,'Time Entries'!A:A,$O$4+5))</f>
        <v/>
      </c>
      <c r="I23" s="4">
        <f>IF($A23="","",SUMIFS('Time Entries'!J:J,'Time Entries'!O:O,$A23,'Time Entries'!A:A,$O$4+6))</f>
        <v/>
      </c>
      <c r="J23" s="4">
        <f>IF($A23="","",SUM(C23:I23))</f>
        <v/>
      </c>
    </row>
    <row r="24">
      <c r="A24">
        <f>IFERROR(INDEX('Time Entries'!$O:$O,MATCH(ROW()-4,'Time Entries'!$P:$P,0)),"")</f>
        <v/>
      </c>
      <c r="B24">
        <f>IF($A24="","",IFERROR(INDEX('Time Entries'!G:G,MATCH($A24,'Time Entries'!$O:$O,0)),""))</f>
        <v/>
      </c>
      <c r="C24" s="4">
        <f>IF($A24="","",SUMIFS('Time Entries'!J:J,'Time Entries'!O:O,$A24,'Time Entries'!A:A,$O$4+0))</f>
        <v/>
      </c>
      <c r="D24" s="4">
        <f>IF($A24="","",SUMIFS('Time Entries'!J:J,'Time Entries'!O:O,$A24,'Time Entries'!A:A,$O$4+1))</f>
        <v/>
      </c>
      <c r="E24" s="4">
        <f>IF($A24="","",SUMIFS('Time Entries'!J:J,'Time Entries'!O:O,$A24,'Time Entries'!A:A,$O$4+2))</f>
        <v/>
      </c>
      <c r="F24" s="4">
        <f>IF($A24="","",SUMIFS('Time Entries'!J:J,'Time Entries'!O:O,$A24,'Time Entries'!A:A,$O$4+3))</f>
        <v/>
      </c>
      <c r="G24" s="4">
        <f>IF($A24="","",SUMIFS('Time Entries'!J:J,'Time Entries'!O:O,$A24,'Time Entries'!A:A,$O$4+4))</f>
        <v/>
      </c>
      <c r="H24" s="4">
        <f>IF($A24="","",SUMIFS('Time Entries'!J:J,'Time Entries'!O:O,$A24,'Time Entries'!A:A,$O$4+5))</f>
        <v/>
      </c>
      <c r="I24" s="4">
        <f>IF($A24="","",SUMIFS('Time Entries'!J:J,'Time Entries'!O:O,$A24,'Time Entries'!A:A,$O$4+6))</f>
        <v/>
      </c>
      <c r="J24" s="4">
        <f>IF($A24="","",SUM(C24:I24))</f>
        <v/>
      </c>
    </row>
    <row r="25">
      <c r="A25">
        <f>IFERROR(INDEX('Time Entries'!$O:$O,MATCH(ROW()-4,'Time Entries'!$P:$P,0)),"")</f>
        <v/>
      </c>
      <c r="B25">
        <f>IF($A25="","",IFERROR(INDEX('Time Entries'!G:G,MATCH($A25,'Time Entries'!$O:$O,0)),""))</f>
        <v/>
      </c>
      <c r="C25" s="4">
        <f>IF($A25="","",SUMIFS('Time Entries'!J:J,'Time Entries'!O:O,$A25,'Time Entries'!A:A,$O$4+0))</f>
        <v/>
      </c>
      <c r="D25" s="4">
        <f>IF($A25="","",SUMIFS('Time Entries'!J:J,'Time Entries'!O:O,$A25,'Time Entries'!A:A,$O$4+1))</f>
        <v/>
      </c>
      <c r="E25" s="4">
        <f>IF($A25="","",SUMIFS('Time Entries'!J:J,'Time Entries'!O:O,$A25,'Time Entries'!A:A,$O$4+2))</f>
        <v/>
      </c>
      <c r="F25" s="4">
        <f>IF($A25="","",SUMIFS('Time Entries'!J:J,'Time Entries'!O:O,$A25,'Time Entries'!A:A,$O$4+3))</f>
        <v/>
      </c>
      <c r="G25" s="4">
        <f>IF($A25="","",SUMIFS('Time Entries'!J:J,'Time Entries'!O:O,$A25,'Time Entries'!A:A,$O$4+4))</f>
        <v/>
      </c>
      <c r="H25" s="4">
        <f>IF($A25="","",SUMIFS('Time Entries'!J:J,'Time Entries'!O:O,$A25,'Time Entries'!A:A,$O$4+5))</f>
        <v/>
      </c>
      <c r="I25" s="4">
        <f>IF($A25="","",SUMIFS('Time Entries'!J:J,'Time Entries'!O:O,$A25,'Time Entries'!A:A,$O$4+6))</f>
        <v/>
      </c>
      <c r="J25" s="4">
        <f>IF($A25="","",SUM(C25:I25))</f>
        <v/>
      </c>
    </row>
    <row r="26">
      <c r="A26">
        <f>IFERROR(INDEX('Time Entries'!$O:$O,MATCH(ROW()-4,'Time Entries'!$P:$P,0)),"")</f>
        <v/>
      </c>
      <c r="B26">
        <f>IF($A26="","",IFERROR(INDEX('Time Entries'!G:G,MATCH($A26,'Time Entries'!$O:$O,0)),""))</f>
        <v/>
      </c>
      <c r="C26" s="4">
        <f>IF($A26="","",SUMIFS('Time Entries'!J:J,'Time Entries'!O:O,$A26,'Time Entries'!A:A,$O$4+0))</f>
        <v/>
      </c>
      <c r="D26" s="4">
        <f>IF($A26="","",SUMIFS('Time Entries'!J:J,'Time Entries'!O:O,$A26,'Time Entries'!A:A,$O$4+1))</f>
        <v/>
      </c>
      <c r="E26" s="4">
        <f>IF($A26="","",SUMIFS('Time Entries'!J:J,'Time Entries'!O:O,$A26,'Time Entries'!A:A,$O$4+2))</f>
        <v/>
      </c>
      <c r="F26" s="4">
        <f>IF($A26="","",SUMIFS('Time Entries'!J:J,'Time Entries'!O:O,$A26,'Time Entries'!A:A,$O$4+3))</f>
        <v/>
      </c>
      <c r="G26" s="4">
        <f>IF($A26="","",SUMIFS('Time Entries'!J:J,'Time Entries'!O:O,$A26,'Time Entries'!A:A,$O$4+4))</f>
        <v/>
      </c>
      <c r="H26" s="4">
        <f>IF($A26="","",SUMIFS('Time Entries'!J:J,'Time Entries'!O:O,$A26,'Time Entries'!A:A,$O$4+5))</f>
        <v/>
      </c>
      <c r="I26" s="4">
        <f>IF($A26="","",SUMIFS('Time Entries'!J:J,'Time Entries'!O:O,$A26,'Time Entries'!A:A,$O$4+6))</f>
        <v/>
      </c>
      <c r="J26" s="4">
        <f>IF($A26="","",SUM(C26:I26))</f>
        <v/>
      </c>
    </row>
    <row r="27">
      <c r="A27">
        <f>IFERROR(INDEX('Time Entries'!$O:$O,MATCH(ROW()-4,'Time Entries'!$P:$P,0)),"")</f>
        <v/>
      </c>
      <c r="B27">
        <f>IF($A27="","",IFERROR(INDEX('Time Entries'!G:G,MATCH($A27,'Time Entries'!$O:$O,0)),""))</f>
        <v/>
      </c>
      <c r="C27" s="4">
        <f>IF($A27="","",SUMIFS('Time Entries'!J:J,'Time Entries'!O:O,$A27,'Time Entries'!A:A,$O$4+0))</f>
        <v/>
      </c>
      <c r="D27" s="4">
        <f>IF($A27="","",SUMIFS('Time Entries'!J:J,'Time Entries'!O:O,$A27,'Time Entries'!A:A,$O$4+1))</f>
        <v/>
      </c>
      <c r="E27" s="4">
        <f>IF($A27="","",SUMIFS('Time Entries'!J:J,'Time Entries'!O:O,$A27,'Time Entries'!A:A,$O$4+2))</f>
        <v/>
      </c>
      <c r="F27" s="4">
        <f>IF($A27="","",SUMIFS('Time Entries'!J:J,'Time Entries'!O:O,$A27,'Time Entries'!A:A,$O$4+3))</f>
        <v/>
      </c>
      <c r="G27" s="4">
        <f>IF($A27="","",SUMIFS('Time Entries'!J:J,'Time Entries'!O:O,$A27,'Time Entries'!A:A,$O$4+4))</f>
        <v/>
      </c>
      <c r="H27" s="4">
        <f>IF($A27="","",SUMIFS('Time Entries'!J:J,'Time Entries'!O:O,$A27,'Time Entries'!A:A,$O$4+5))</f>
        <v/>
      </c>
      <c r="I27" s="4">
        <f>IF($A27="","",SUMIFS('Time Entries'!J:J,'Time Entries'!O:O,$A27,'Time Entries'!A:A,$O$4+6))</f>
        <v/>
      </c>
      <c r="J27" s="4">
        <f>IF($A27="","",SUM(C27:I27))</f>
        <v/>
      </c>
    </row>
    <row r="28">
      <c r="A28">
        <f>IFERROR(INDEX('Time Entries'!$O:$O,MATCH(ROW()-4,'Time Entries'!$P:$P,0)),"")</f>
        <v/>
      </c>
      <c r="B28">
        <f>IF($A28="","",IFERROR(INDEX('Time Entries'!G:G,MATCH($A28,'Time Entries'!$O:$O,0)),""))</f>
        <v/>
      </c>
      <c r="C28" s="4">
        <f>IF($A28="","",SUMIFS('Time Entries'!J:J,'Time Entries'!O:O,$A28,'Time Entries'!A:A,$O$4+0))</f>
        <v/>
      </c>
      <c r="D28" s="4">
        <f>IF($A28="","",SUMIFS('Time Entries'!J:J,'Time Entries'!O:O,$A28,'Time Entries'!A:A,$O$4+1))</f>
        <v/>
      </c>
      <c r="E28" s="4">
        <f>IF($A28="","",SUMIFS('Time Entries'!J:J,'Time Entries'!O:O,$A28,'Time Entries'!A:A,$O$4+2))</f>
        <v/>
      </c>
      <c r="F28" s="4">
        <f>IF($A28="","",SUMIFS('Time Entries'!J:J,'Time Entries'!O:O,$A28,'Time Entries'!A:A,$O$4+3))</f>
        <v/>
      </c>
      <c r="G28" s="4">
        <f>IF($A28="","",SUMIFS('Time Entries'!J:J,'Time Entries'!O:O,$A28,'Time Entries'!A:A,$O$4+4))</f>
        <v/>
      </c>
      <c r="H28" s="4">
        <f>IF($A28="","",SUMIFS('Time Entries'!J:J,'Time Entries'!O:O,$A28,'Time Entries'!A:A,$O$4+5))</f>
        <v/>
      </c>
      <c r="I28" s="4">
        <f>IF($A28="","",SUMIFS('Time Entries'!J:J,'Time Entries'!O:O,$A28,'Time Entries'!A:A,$O$4+6))</f>
        <v/>
      </c>
      <c r="J28" s="4">
        <f>IF($A28="","",SUM(C28:I28))</f>
        <v/>
      </c>
    </row>
    <row r="29">
      <c r="A29">
        <f>IFERROR(INDEX('Time Entries'!$O:$O,MATCH(ROW()-4,'Time Entries'!$P:$P,0)),"")</f>
        <v/>
      </c>
      <c r="B29">
        <f>IF($A29="","",IFERROR(INDEX('Time Entries'!G:G,MATCH($A29,'Time Entries'!$O:$O,0)),""))</f>
        <v/>
      </c>
      <c r="C29" s="4">
        <f>IF($A29="","",SUMIFS('Time Entries'!J:J,'Time Entries'!O:O,$A29,'Time Entries'!A:A,$O$4+0))</f>
        <v/>
      </c>
      <c r="D29" s="4">
        <f>IF($A29="","",SUMIFS('Time Entries'!J:J,'Time Entries'!O:O,$A29,'Time Entries'!A:A,$O$4+1))</f>
        <v/>
      </c>
      <c r="E29" s="4">
        <f>IF($A29="","",SUMIFS('Time Entries'!J:J,'Time Entries'!O:O,$A29,'Time Entries'!A:A,$O$4+2))</f>
        <v/>
      </c>
      <c r="F29" s="4">
        <f>IF($A29="","",SUMIFS('Time Entries'!J:J,'Time Entries'!O:O,$A29,'Time Entries'!A:A,$O$4+3))</f>
        <v/>
      </c>
      <c r="G29" s="4">
        <f>IF($A29="","",SUMIFS('Time Entries'!J:J,'Time Entries'!O:O,$A29,'Time Entries'!A:A,$O$4+4))</f>
        <v/>
      </c>
      <c r="H29" s="4">
        <f>IF($A29="","",SUMIFS('Time Entries'!J:J,'Time Entries'!O:O,$A29,'Time Entries'!A:A,$O$4+5))</f>
        <v/>
      </c>
      <c r="I29" s="4">
        <f>IF($A29="","",SUMIFS('Time Entries'!J:J,'Time Entries'!O:O,$A29,'Time Entries'!A:A,$O$4+6))</f>
        <v/>
      </c>
      <c r="J29" s="4">
        <f>IF($A29="","",SUM(C29:I29))</f>
        <v/>
      </c>
    </row>
    <row r="30">
      <c r="A30">
        <f>IFERROR(INDEX('Time Entries'!$O:$O,MATCH(ROW()-4,'Time Entries'!$P:$P,0)),"")</f>
        <v/>
      </c>
      <c r="B30">
        <f>IF($A30="","",IFERROR(INDEX('Time Entries'!G:G,MATCH($A30,'Time Entries'!$O:$O,0)),""))</f>
        <v/>
      </c>
      <c r="C30" s="4">
        <f>IF($A30="","",SUMIFS('Time Entries'!J:J,'Time Entries'!O:O,$A30,'Time Entries'!A:A,$O$4+0))</f>
        <v/>
      </c>
      <c r="D30" s="4">
        <f>IF($A30="","",SUMIFS('Time Entries'!J:J,'Time Entries'!O:O,$A30,'Time Entries'!A:A,$O$4+1))</f>
        <v/>
      </c>
      <c r="E30" s="4">
        <f>IF($A30="","",SUMIFS('Time Entries'!J:J,'Time Entries'!O:O,$A30,'Time Entries'!A:A,$O$4+2))</f>
        <v/>
      </c>
      <c r="F30" s="4">
        <f>IF($A30="","",SUMIFS('Time Entries'!J:J,'Time Entries'!O:O,$A30,'Time Entries'!A:A,$O$4+3))</f>
        <v/>
      </c>
      <c r="G30" s="4">
        <f>IF($A30="","",SUMIFS('Time Entries'!J:J,'Time Entries'!O:O,$A30,'Time Entries'!A:A,$O$4+4))</f>
        <v/>
      </c>
      <c r="H30" s="4">
        <f>IF($A30="","",SUMIFS('Time Entries'!J:J,'Time Entries'!O:O,$A30,'Time Entries'!A:A,$O$4+5))</f>
        <v/>
      </c>
      <c r="I30" s="4">
        <f>IF($A30="","",SUMIFS('Time Entries'!J:J,'Time Entries'!O:O,$A30,'Time Entries'!A:A,$O$4+6))</f>
        <v/>
      </c>
      <c r="J30" s="4">
        <f>IF($A30="","",SUM(C30:I30))</f>
        <v/>
      </c>
    </row>
    <row r="31">
      <c r="A31">
        <f>IFERROR(INDEX('Time Entries'!$O:$O,MATCH(ROW()-4,'Time Entries'!$P:$P,0)),"")</f>
        <v/>
      </c>
      <c r="B31">
        <f>IF($A31="","",IFERROR(INDEX('Time Entries'!G:G,MATCH($A31,'Time Entries'!$O:$O,0)),""))</f>
        <v/>
      </c>
      <c r="C31" s="4">
        <f>IF($A31="","",SUMIFS('Time Entries'!J:J,'Time Entries'!O:O,$A31,'Time Entries'!A:A,$O$4+0))</f>
        <v/>
      </c>
      <c r="D31" s="4">
        <f>IF($A31="","",SUMIFS('Time Entries'!J:J,'Time Entries'!O:O,$A31,'Time Entries'!A:A,$O$4+1))</f>
        <v/>
      </c>
      <c r="E31" s="4">
        <f>IF($A31="","",SUMIFS('Time Entries'!J:J,'Time Entries'!O:O,$A31,'Time Entries'!A:A,$O$4+2))</f>
        <v/>
      </c>
      <c r="F31" s="4">
        <f>IF($A31="","",SUMIFS('Time Entries'!J:J,'Time Entries'!O:O,$A31,'Time Entries'!A:A,$O$4+3))</f>
        <v/>
      </c>
      <c r="G31" s="4">
        <f>IF($A31="","",SUMIFS('Time Entries'!J:J,'Time Entries'!O:O,$A31,'Time Entries'!A:A,$O$4+4))</f>
        <v/>
      </c>
      <c r="H31" s="4">
        <f>IF($A31="","",SUMIFS('Time Entries'!J:J,'Time Entries'!O:O,$A31,'Time Entries'!A:A,$O$4+5))</f>
        <v/>
      </c>
      <c r="I31" s="4">
        <f>IF($A31="","",SUMIFS('Time Entries'!J:J,'Time Entries'!O:O,$A31,'Time Entries'!A:A,$O$4+6))</f>
        <v/>
      </c>
      <c r="J31" s="4">
        <f>IF($A31="","",SUM(C31:I31))</f>
        <v/>
      </c>
    </row>
    <row r="32">
      <c r="A32">
        <f>IFERROR(INDEX('Time Entries'!$O:$O,MATCH(ROW()-4,'Time Entries'!$P:$P,0)),"")</f>
        <v/>
      </c>
      <c r="B32">
        <f>IF($A32="","",IFERROR(INDEX('Time Entries'!G:G,MATCH($A32,'Time Entries'!$O:$O,0)),""))</f>
        <v/>
      </c>
      <c r="C32" s="4">
        <f>IF($A32="","",SUMIFS('Time Entries'!J:J,'Time Entries'!O:O,$A32,'Time Entries'!A:A,$O$4+0))</f>
        <v/>
      </c>
      <c r="D32" s="4">
        <f>IF($A32="","",SUMIFS('Time Entries'!J:J,'Time Entries'!O:O,$A32,'Time Entries'!A:A,$O$4+1))</f>
        <v/>
      </c>
      <c r="E32" s="4">
        <f>IF($A32="","",SUMIFS('Time Entries'!J:J,'Time Entries'!O:O,$A32,'Time Entries'!A:A,$O$4+2))</f>
        <v/>
      </c>
      <c r="F32" s="4">
        <f>IF($A32="","",SUMIFS('Time Entries'!J:J,'Time Entries'!O:O,$A32,'Time Entries'!A:A,$O$4+3))</f>
        <v/>
      </c>
      <c r="G32" s="4">
        <f>IF($A32="","",SUMIFS('Time Entries'!J:J,'Time Entries'!O:O,$A32,'Time Entries'!A:A,$O$4+4))</f>
        <v/>
      </c>
      <c r="H32" s="4">
        <f>IF($A32="","",SUMIFS('Time Entries'!J:J,'Time Entries'!O:O,$A32,'Time Entries'!A:A,$O$4+5))</f>
        <v/>
      </c>
      <c r="I32" s="4">
        <f>IF($A32="","",SUMIFS('Time Entries'!J:J,'Time Entries'!O:O,$A32,'Time Entries'!A:A,$O$4+6))</f>
        <v/>
      </c>
      <c r="J32" s="4">
        <f>IF($A32="","",SUM(C32:I32))</f>
        <v/>
      </c>
    </row>
    <row r="33">
      <c r="A33">
        <f>IFERROR(INDEX('Time Entries'!$O:$O,MATCH(ROW()-4,'Time Entries'!$P:$P,0)),"")</f>
        <v/>
      </c>
      <c r="B33">
        <f>IF($A33="","",IFERROR(INDEX('Time Entries'!G:G,MATCH($A33,'Time Entries'!$O:$O,0)),""))</f>
        <v/>
      </c>
      <c r="C33" s="4">
        <f>IF($A33="","",SUMIFS('Time Entries'!J:J,'Time Entries'!O:O,$A33,'Time Entries'!A:A,$O$4+0))</f>
        <v/>
      </c>
      <c r="D33" s="4">
        <f>IF($A33="","",SUMIFS('Time Entries'!J:J,'Time Entries'!O:O,$A33,'Time Entries'!A:A,$O$4+1))</f>
        <v/>
      </c>
      <c r="E33" s="4">
        <f>IF($A33="","",SUMIFS('Time Entries'!J:J,'Time Entries'!O:O,$A33,'Time Entries'!A:A,$O$4+2))</f>
        <v/>
      </c>
      <c r="F33" s="4">
        <f>IF($A33="","",SUMIFS('Time Entries'!J:J,'Time Entries'!O:O,$A33,'Time Entries'!A:A,$O$4+3))</f>
        <v/>
      </c>
      <c r="G33" s="4">
        <f>IF($A33="","",SUMIFS('Time Entries'!J:J,'Time Entries'!O:O,$A33,'Time Entries'!A:A,$O$4+4))</f>
        <v/>
      </c>
      <c r="H33" s="4">
        <f>IF($A33="","",SUMIFS('Time Entries'!J:J,'Time Entries'!O:O,$A33,'Time Entries'!A:A,$O$4+5))</f>
        <v/>
      </c>
      <c r="I33" s="4">
        <f>IF($A33="","",SUMIFS('Time Entries'!J:J,'Time Entries'!O:O,$A33,'Time Entries'!A:A,$O$4+6))</f>
        <v/>
      </c>
      <c r="J33" s="4">
        <f>IF($A33="","",SUM(C33:I33))</f>
        <v/>
      </c>
    </row>
    <row r="34">
      <c r="A34">
        <f>IFERROR(INDEX('Time Entries'!$O:$O,MATCH(ROW()-4,'Time Entries'!$P:$P,0)),"")</f>
        <v/>
      </c>
      <c r="B34">
        <f>IF($A34="","",IFERROR(INDEX('Time Entries'!G:G,MATCH($A34,'Time Entries'!$O:$O,0)),""))</f>
        <v/>
      </c>
      <c r="C34" s="4">
        <f>IF($A34="","",SUMIFS('Time Entries'!J:J,'Time Entries'!O:O,$A34,'Time Entries'!A:A,$O$4+0))</f>
        <v/>
      </c>
      <c r="D34" s="4">
        <f>IF($A34="","",SUMIFS('Time Entries'!J:J,'Time Entries'!O:O,$A34,'Time Entries'!A:A,$O$4+1))</f>
        <v/>
      </c>
      <c r="E34" s="4">
        <f>IF($A34="","",SUMIFS('Time Entries'!J:J,'Time Entries'!O:O,$A34,'Time Entries'!A:A,$O$4+2))</f>
        <v/>
      </c>
      <c r="F34" s="4">
        <f>IF($A34="","",SUMIFS('Time Entries'!J:J,'Time Entries'!O:O,$A34,'Time Entries'!A:A,$O$4+3))</f>
        <v/>
      </c>
      <c r="G34" s="4">
        <f>IF($A34="","",SUMIFS('Time Entries'!J:J,'Time Entries'!O:O,$A34,'Time Entries'!A:A,$O$4+4))</f>
        <v/>
      </c>
      <c r="H34" s="4">
        <f>IF($A34="","",SUMIFS('Time Entries'!J:J,'Time Entries'!O:O,$A34,'Time Entries'!A:A,$O$4+5))</f>
        <v/>
      </c>
      <c r="I34" s="4">
        <f>IF($A34="","",SUMIFS('Time Entries'!J:J,'Time Entries'!O:O,$A34,'Time Entries'!A:A,$O$4+6))</f>
        <v/>
      </c>
      <c r="J34" s="4">
        <f>IF($A34="","",SUM(C34:I34))</f>
        <v/>
      </c>
    </row>
    <row r="35">
      <c r="A35">
        <f>IFERROR(INDEX('Time Entries'!$O:$O,MATCH(ROW()-4,'Time Entries'!$P:$P,0)),"")</f>
        <v/>
      </c>
      <c r="B35">
        <f>IF($A35="","",IFERROR(INDEX('Time Entries'!G:G,MATCH($A35,'Time Entries'!$O:$O,0)),""))</f>
        <v/>
      </c>
      <c r="C35" s="4">
        <f>IF($A35="","",SUMIFS('Time Entries'!J:J,'Time Entries'!O:O,$A35,'Time Entries'!A:A,$O$4+0))</f>
        <v/>
      </c>
      <c r="D35" s="4">
        <f>IF($A35="","",SUMIFS('Time Entries'!J:J,'Time Entries'!O:O,$A35,'Time Entries'!A:A,$O$4+1))</f>
        <v/>
      </c>
      <c r="E35" s="4">
        <f>IF($A35="","",SUMIFS('Time Entries'!J:J,'Time Entries'!O:O,$A35,'Time Entries'!A:A,$O$4+2))</f>
        <v/>
      </c>
      <c r="F35" s="4">
        <f>IF($A35="","",SUMIFS('Time Entries'!J:J,'Time Entries'!O:O,$A35,'Time Entries'!A:A,$O$4+3))</f>
        <v/>
      </c>
      <c r="G35" s="4">
        <f>IF($A35="","",SUMIFS('Time Entries'!J:J,'Time Entries'!O:O,$A35,'Time Entries'!A:A,$O$4+4))</f>
        <v/>
      </c>
      <c r="H35" s="4">
        <f>IF($A35="","",SUMIFS('Time Entries'!J:J,'Time Entries'!O:O,$A35,'Time Entries'!A:A,$O$4+5))</f>
        <v/>
      </c>
      <c r="I35" s="4">
        <f>IF($A35="","",SUMIFS('Time Entries'!J:J,'Time Entries'!O:O,$A35,'Time Entries'!A:A,$O$4+6))</f>
        <v/>
      </c>
      <c r="J35" s="4">
        <f>IF($A35="","",SUM(C35:I35))</f>
        <v/>
      </c>
    </row>
    <row r="36">
      <c r="A36">
        <f>IFERROR(INDEX('Time Entries'!$O:$O,MATCH(ROW()-4,'Time Entries'!$P:$P,0)),"")</f>
        <v/>
      </c>
      <c r="B36">
        <f>IF($A36="","",IFERROR(INDEX('Time Entries'!G:G,MATCH($A36,'Time Entries'!$O:$O,0)),""))</f>
        <v/>
      </c>
      <c r="C36" s="4">
        <f>IF($A36="","",SUMIFS('Time Entries'!J:J,'Time Entries'!O:O,$A36,'Time Entries'!A:A,$O$4+0))</f>
        <v/>
      </c>
      <c r="D36" s="4">
        <f>IF($A36="","",SUMIFS('Time Entries'!J:J,'Time Entries'!O:O,$A36,'Time Entries'!A:A,$O$4+1))</f>
        <v/>
      </c>
      <c r="E36" s="4">
        <f>IF($A36="","",SUMIFS('Time Entries'!J:J,'Time Entries'!O:O,$A36,'Time Entries'!A:A,$O$4+2))</f>
        <v/>
      </c>
      <c r="F36" s="4">
        <f>IF($A36="","",SUMIFS('Time Entries'!J:J,'Time Entries'!O:O,$A36,'Time Entries'!A:A,$O$4+3))</f>
        <v/>
      </c>
      <c r="G36" s="4">
        <f>IF($A36="","",SUMIFS('Time Entries'!J:J,'Time Entries'!O:O,$A36,'Time Entries'!A:A,$O$4+4))</f>
        <v/>
      </c>
      <c r="H36" s="4">
        <f>IF($A36="","",SUMIFS('Time Entries'!J:J,'Time Entries'!O:O,$A36,'Time Entries'!A:A,$O$4+5))</f>
        <v/>
      </c>
      <c r="I36" s="4">
        <f>IF($A36="","",SUMIFS('Time Entries'!J:J,'Time Entries'!O:O,$A36,'Time Entries'!A:A,$O$4+6))</f>
        <v/>
      </c>
      <c r="J36" s="4">
        <f>IF($A36="","",SUM(C36:I36))</f>
        <v/>
      </c>
    </row>
    <row r="37">
      <c r="A37">
        <f>IFERROR(INDEX('Time Entries'!$O:$O,MATCH(ROW()-4,'Time Entries'!$P:$P,0)),"")</f>
        <v/>
      </c>
      <c r="B37">
        <f>IF($A37="","",IFERROR(INDEX('Time Entries'!G:G,MATCH($A37,'Time Entries'!$O:$O,0)),""))</f>
        <v/>
      </c>
      <c r="C37" s="4">
        <f>IF($A37="","",SUMIFS('Time Entries'!J:J,'Time Entries'!O:O,$A37,'Time Entries'!A:A,$O$4+0))</f>
        <v/>
      </c>
      <c r="D37" s="4">
        <f>IF($A37="","",SUMIFS('Time Entries'!J:J,'Time Entries'!O:O,$A37,'Time Entries'!A:A,$O$4+1))</f>
        <v/>
      </c>
      <c r="E37" s="4">
        <f>IF($A37="","",SUMIFS('Time Entries'!J:J,'Time Entries'!O:O,$A37,'Time Entries'!A:A,$O$4+2))</f>
        <v/>
      </c>
      <c r="F37" s="4">
        <f>IF($A37="","",SUMIFS('Time Entries'!J:J,'Time Entries'!O:O,$A37,'Time Entries'!A:A,$O$4+3))</f>
        <v/>
      </c>
      <c r="G37" s="4">
        <f>IF($A37="","",SUMIFS('Time Entries'!J:J,'Time Entries'!O:O,$A37,'Time Entries'!A:A,$O$4+4))</f>
        <v/>
      </c>
      <c r="H37" s="4">
        <f>IF($A37="","",SUMIFS('Time Entries'!J:J,'Time Entries'!O:O,$A37,'Time Entries'!A:A,$O$4+5))</f>
        <v/>
      </c>
      <c r="I37" s="4">
        <f>IF($A37="","",SUMIFS('Time Entries'!J:J,'Time Entries'!O:O,$A37,'Time Entries'!A:A,$O$4+6))</f>
        <v/>
      </c>
      <c r="J37" s="4">
        <f>IF($A37="","",SUM(C37:I37))</f>
        <v/>
      </c>
    </row>
    <row r="38">
      <c r="A38">
        <f>IFERROR(INDEX('Time Entries'!$O:$O,MATCH(ROW()-4,'Time Entries'!$P:$P,0)),"")</f>
        <v/>
      </c>
      <c r="B38">
        <f>IF($A38="","",IFERROR(INDEX('Time Entries'!G:G,MATCH($A38,'Time Entries'!$O:$O,0)),""))</f>
        <v/>
      </c>
      <c r="C38" s="4">
        <f>IF($A38="","",SUMIFS('Time Entries'!J:J,'Time Entries'!O:O,$A38,'Time Entries'!A:A,$O$4+0))</f>
        <v/>
      </c>
      <c r="D38" s="4">
        <f>IF($A38="","",SUMIFS('Time Entries'!J:J,'Time Entries'!O:O,$A38,'Time Entries'!A:A,$O$4+1))</f>
        <v/>
      </c>
      <c r="E38" s="4">
        <f>IF($A38="","",SUMIFS('Time Entries'!J:J,'Time Entries'!O:O,$A38,'Time Entries'!A:A,$O$4+2))</f>
        <v/>
      </c>
      <c r="F38" s="4">
        <f>IF($A38="","",SUMIFS('Time Entries'!J:J,'Time Entries'!O:O,$A38,'Time Entries'!A:A,$O$4+3))</f>
        <v/>
      </c>
      <c r="G38" s="4">
        <f>IF($A38="","",SUMIFS('Time Entries'!J:J,'Time Entries'!O:O,$A38,'Time Entries'!A:A,$O$4+4))</f>
        <v/>
      </c>
      <c r="H38" s="4">
        <f>IF($A38="","",SUMIFS('Time Entries'!J:J,'Time Entries'!O:O,$A38,'Time Entries'!A:A,$O$4+5))</f>
        <v/>
      </c>
      <c r="I38" s="4">
        <f>IF($A38="","",SUMIFS('Time Entries'!J:J,'Time Entries'!O:O,$A38,'Time Entries'!A:A,$O$4+6))</f>
        <v/>
      </c>
      <c r="J38" s="4">
        <f>IF($A38="","",SUM(C38:I38))</f>
        <v/>
      </c>
    </row>
    <row r="39">
      <c r="A39">
        <f>IFERROR(INDEX('Time Entries'!$O:$O,MATCH(ROW()-4,'Time Entries'!$P:$P,0)),"")</f>
        <v/>
      </c>
      <c r="B39">
        <f>IF($A39="","",IFERROR(INDEX('Time Entries'!G:G,MATCH($A39,'Time Entries'!$O:$O,0)),""))</f>
        <v/>
      </c>
      <c r="C39" s="4">
        <f>IF($A39="","",SUMIFS('Time Entries'!J:J,'Time Entries'!O:O,$A39,'Time Entries'!A:A,$O$4+0))</f>
        <v/>
      </c>
      <c r="D39" s="4">
        <f>IF($A39="","",SUMIFS('Time Entries'!J:J,'Time Entries'!O:O,$A39,'Time Entries'!A:A,$O$4+1))</f>
        <v/>
      </c>
      <c r="E39" s="4">
        <f>IF($A39="","",SUMIFS('Time Entries'!J:J,'Time Entries'!O:O,$A39,'Time Entries'!A:A,$O$4+2))</f>
        <v/>
      </c>
      <c r="F39" s="4">
        <f>IF($A39="","",SUMIFS('Time Entries'!J:J,'Time Entries'!O:O,$A39,'Time Entries'!A:A,$O$4+3))</f>
        <v/>
      </c>
      <c r="G39" s="4">
        <f>IF($A39="","",SUMIFS('Time Entries'!J:J,'Time Entries'!O:O,$A39,'Time Entries'!A:A,$O$4+4))</f>
        <v/>
      </c>
      <c r="H39" s="4">
        <f>IF($A39="","",SUMIFS('Time Entries'!J:J,'Time Entries'!O:O,$A39,'Time Entries'!A:A,$O$4+5))</f>
        <v/>
      </c>
      <c r="I39" s="4">
        <f>IF($A39="","",SUMIFS('Time Entries'!J:J,'Time Entries'!O:O,$A39,'Time Entries'!A:A,$O$4+6))</f>
        <v/>
      </c>
      <c r="J39" s="4">
        <f>IF($A39="","",SUM(C39:I39))</f>
        <v/>
      </c>
    </row>
    <row r="40">
      <c r="A40">
        <f>IFERROR(INDEX('Time Entries'!$O:$O,MATCH(ROW()-4,'Time Entries'!$P:$P,0)),"")</f>
        <v/>
      </c>
      <c r="B40">
        <f>IF($A40="","",IFERROR(INDEX('Time Entries'!G:G,MATCH($A40,'Time Entries'!$O:$O,0)),""))</f>
        <v/>
      </c>
      <c r="C40" s="4">
        <f>IF($A40="","",SUMIFS('Time Entries'!J:J,'Time Entries'!O:O,$A40,'Time Entries'!A:A,$O$4+0))</f>
        <v/>
      </c>
      <c r="D40" s="4">
        <f>IF($A40="","",SUMIFS('Time Entries'!J:J,'Time Entries'!O:O,$A40,'Time Entries'!A:A,$O$4+1))</f>
        <v/>
      </c>
      <c r="E40" s="4">
        <f>IF($A40="","",SUMIFS('Time Entries'!J:J,'Time Entries'!O:O,$A40,'Time Entries'!A:A,$O$4+2))</f>
        <v/>
      </c>
      <c r="F40" s="4">
        <f>IF($A40="","",SUMIFS('Time Entries'!J:J,'Time Entries'!O:O,$A40,'Time Entries'!A:A,$O$4+3))</f>
        <v/>
      </c>
      <c r="G40" s="4">
        <f>IF($A40="","",SUMIFS('Time Entries'!J:J,'Time Entries'!O:O,$A40,'Time Entries'!A:A,$O$4+4))</f>
        <v/>
      </c>
      <c r="H40" s="4">
        <f>IF($A40="","",SUMIFS('Time Entries'!J:J,'Time Entries'!O:O,$A40,'Time Entries'!A:A,$O$4+5))</f>
        <v/>
      </c>
      <c r="I40" s="4">
        <f>IF($A40="","",SUMIFS('Time Entries'!J:J,'Time Entries'!O:O,$A40,'Time Entries'!A:A,$O$4+6))</f>
        <v/>
      </c>
      <c r="J40" s="4">
        <f>IF($A40="","",SUM(C40:I40))</f>
        <v/>
      </c>
    </row>
    <row r="41">
      <c r="A41">
        <f>IFERROR(INDEX('Time Entries'!$O:$O,MATCH(ROW()-4,'Time Entries'!$P:$P,0)),"")</f>
        <v/>
      </c>
      <c r="B41">
        <f>IF($A41="","",IFERROR(INDEX('Time Entries'!G:G,MATCH($A41,'Time Entries'!$O:$O,0)),""))</f>
        <v/>
      </c>
      <c r="C41" s="4">
        <f>IF($A41="","",SUMIFS('Time Entries'!J:J,'Time Entries'!O:O,$A41,'Time Entries'!A:A,$O$4+0))</f>
        <v/>
      </c>
      <c r="D41" s="4">
        <f>IF($A41="","",SUMIFS('Time Entries'!J:J,'Time Entries'!O:O,$A41,'Time Entries'!A:A,$O$4+1))</f>
        <v/>
      </c>
      <c r="E41" s="4">
        <f>IF($A41="","",SUMIFS('Time Entries'!J:J,'Time Entries'!O:O,$A41,'Time Entries'!A:A,$O$4+2))</f>
        <v/>
      </c>
      <c r="F41" s="4">
        <f>IF($A41="","",SUMIFS('Time Entries'!J:J,'Time Entries'!O:O,$A41,'Time Entries'!A:A,$O$4+3))</f>
        <v/>
      </c>
      <c r="G41" s="4">
        <f>IF($A41="","",SUMIFS('Time Entries'!J:J,'Time Entries'!O:O,$A41,'Time Entries'!A:A,$O$4+4))</f>
        <v/>
      </c>
      <c r="H41" s="4">
        <f>IF($A41="","",SUMIFS('Time Entries'!J:J,'Time Entries'!O:O,$A41,'Time Entries'!A:A,$O$4+5))</f>
        <v/>
      </c>
      <c r="I41" s="4">
        <f>IF($A41="","",SUMIFS('Time Entries'!J:J,'Time Entries'!O:O,$A41,'Time Entries'!A:A,$O$4+6))</f>
        <v/>
      </c>
      <c r="J41" s="4">
        <f>IF($A41="","",SUM(C41:I41))</f>
        <v/>
      </c>
    </row>
    <row r="42">
      <c r="A42">
        <f>IFERROR(INDEX('Time Entries'!$O:$O,MATCH(ROW()-4,'Time Entries'!$P:$P,0)),"")</f>
        <v/>
      </c>
      <c r="B42">
        <f>IF($A42="","",IFERROR(INDEX('Time Entries'!G:G,MATCH($A42,'Time Entries'!$O:$O,0)),""))</f>
        <v/>
      </c>
      <c r="C42" s="4">
        <f>IF($A42="","",SUMIFS('Time Entries'!J:J,'Time Entries'!O:O,$A42,'Time Entries'!A:A,$O$4+0))</f>
        <v/>
      </c>
      <c r="D42" s="4">
        <f>IF($A42="","",SUMIFS('Time Entries'!J:J,'Time Entries'!O:O,$A42,'Time Entries'!A:A,$O$4+1))</f>
        <v/>
      </c>
      <c r="E42" s="4">
        <f>IF($A42="","",SUMIFS('Time Entries'!J:J,'Time Entries'!O:O,$A42,'Time Entries'!A:A,$O$4+2))</f>
        <v/>
      </c>
      <c r="F42" s="4">
        <f>IF($A42="","",SUMIFS('Time Entries'!J:J,'Time Entries'!O:O,$A42,'Time Entries'!A:A,$O$4+3))</f>
        <v/>
      </c>
      <c r="G42" s="4">
        <f>IF($A42="","",SUMIFS('Time Entries'!J:J,'Time Entries'!O:O,$A42,'Time Entries'!A:A,$O$4+4))</f>
        <v/>
      </c>
      <c r="H42" s="4">
        <f>IF($A42="","",SUMIFS('Time Entries'!J:J,'Time Entries'!O:O,$A42,'Time Entries'!A:A,$O$4+5))</f>
        <v/>
      </c>
      <c r="I42" s="4">
        <f>IF($A42="","",SUMIFS('Time Entries'!J:J,'Time Entries'!O:O,$A42,'Time Entries'!A:A,$O$4+6))</f>
        <v/>
      </c>
      <c r="J42" s="4">
        <f>IF($A42="","",SUM(C42:I42))</f>
        <v/>
      </c>
    </row>
    <row r="43">
      <c r="A43">
        <f>IFERROR(INDEX('Time Entries'!$O:$O,MATCH(ROW()-4,'Time Entries'!$P:$P,0)),"")</f>
        <v/>
      </c>
      <c r="B43">
        <f>IF($A43="","",IFERROR(INDEX('Time Entries'!G:G,MATCH($A43,'Time Entries'!$O:$O,0)),""))</f>
        <v/>
      </c>
      <c r="C43" s="4">
        <f>IF($A43="","",SUMIFS('Time Entries'!J:J,'Time Entries'!O:O,$A43,'Time Entries'!A:A,$O$4+0))</f>
        <v/>
      </c>
      <c r="D43" s="4">
        <f>IF($A43="","",SUMIFS('Time Entries'!J:J,'Time Entries'!O:O,$A43,'Time Entries'!A:A,$O$4+1))</f>
        <v/>
      </c>
      <c r="E43" s="4">
        <f>IF($A43="","",SUMIFS('Time Entries'!J:J,'Time Entries'!O:O,$A43,'Time Entries'!A:A,$O$4+2))</f>
        <v/>
      </c>
      <c r="F43" s="4">
        <f>IF($A43="","",SUMIFS('Time Entries'!J:J,'Time Entries'!O:O,$A43,'Time Entries'!A:A,$O$4+3))</f>
        <v/>
      </c>
      <c r="G43" s="4">
        <f>IF($A43="","",SUMIFS('Time Entries'!J:J,'Time Entries'!O:O,$A43,'Time Entries'!A:A,$O$4+4))</f>
        <v/>
      </c>
      <c r="H43" s="4">
        <f>IF($A43="","",SUMIFS('Time Entries'!J:J,'Time Entries'!O:O,$A43,'Time Entries'!A:A,$O$4+5))</f>
        <v/>
      </c>
      <c r="I43" s="4">
        <f>IF($A43="","",SUMIFS('Time Entries'!J:J,'Time Entries'!O:O,$A43,'Time Entries'!A:A,$O$4+6))</f>
        <v/>
      </c>
      <c r="J43" s="4">
        <f>IF($A43="","",SUM(C43:I43))</f>
        <v/>
      </c>
    </row>
    <row r="44">
      <c r="A44">
        <f>IFERROR(INDEX('Time Entries'!$O:$O,MATCH(ROW()-4,'Time Entries'!$P:$P,0)),"")</f>
        <v/>
      </c>
      <c r="B44">
        <f>IF($A44="","",IFERROR(INDEX('Time Entries'!G:G,MATCH($A44,'Time Entries'!$O:$O,0)),""))</f>
        <v/>
      </c>
      <c r="C44" s="4">
        <f>IF($A44="","",SUMIFS('Time Entries'!J:J,'Time Entries'!O:O,$A44,'Time Entries'!A:A,$O$4+0))</f>
        <v/>
      </c>
      <c r="D44" s="4">
        <f>IF($A44="","",SUMIFS('Time Entries'!J:J,'Time Entries'!O:O,$A44,'Time Entries'!A:A,$O$4+1))</f>
        <v/>
      </c>
      <c r="E44" s="4">
        <f>IF($A44="","",SUMIFS('Time Entries'!J:J,'Time Entries'!O:O,$A44,'Time Entries'!A:A,$O$4+2))</f>
        <v/>
      </c>
      <c r="F44" s="4">
        <f>IF($A44="","",SUMIFS('Time Entries'!J:J,'Time Entries'!O:O,$A44,'Time Entries'!A:A,$O$4+3))</f>
        <v/>
      </c>
      <c r="G44" s="4">
        <f>IF($A44="","",SUMIFS('Time Entries'!J:J,'Time Entries'!O:O,$A44,'Time Entries'!A:A,$O$4+4))</f>
        <v/>
      </c>
      <c r="H44" s="4">
        <f>IF($A44="","",SUMIFS('Time Entries'!J:J,'Time Entries'!O:O,$A44,'Time Entries'!A:A,$O$4+5))</f>
        <v/>
      </c>
      <c r="I44" s="4">
        <f>IF($A44="","",SUMIFS('Time Entries'!J:J,'Time Entries'!O:O,$A44,'Time Entries'!A:A,$O$4+6))</f>
        <v/>
      </c>
      <c r="J44" s="4">
        <f>IF($A44="","",SUM(C44:I44))</f>
        <v/>
      </c>
    </row>
    <row r="45">
      <c r="A45">
        <f>IFERROR(INDEX('Time Entries'!$O:$O,MATCH(ROW()-4,'Time Entries'!$P:$P,0)),"")</f>
        <v/>
      </c>
      <c r="B45">
        <f>IF($A45="","",IFERROR(INDEX('Time Entries'!G:G,MATCH($A45,'Time Entries'!$O:$O,0)),""))</f>
        <v/>
      </c>
      <c r="C45" s="4">
        <f>IF($A45="","",SUMIFS('Time Entries'!J:J,'Time Entries'!O:O,$A45,'Time Entries'!A:A,$O$4+0))</f>
        <v/>
      </c>
      <c r="D45" s="4">
        <f>IF($A45="","",SUMIFS('Time Entries'!J:J,'Time Entries'!O:O,$A45,'Time Entries'!A:A,$O$4+1))</f>
        <v/>
      </c>
      <c r="E45" s="4">
        <f>IF($A45="","",SUMIFS('Time Entries'!J:J,'Time Entries'!O:O,$A45,'Time Entries'!A:A,$O$4+2))</f>
        <v/>
      </c>
      <c r="F45" s="4">
        <f>IF($A45="","",SUMIFS('Time Entries'!J:J,'Time Entries'!O:O,$A45,'Time Entries'!A:A,$O$4+3))</f>
        <v/>
      </c>
      <c r="G45" s="4">
        <f>IF($A45="","",SUMIFS('Time Entries'!J:J,'Time Entries'!O:O,$A45,'Time Entries'!A:A,$O$4+4))</f>
        <v/>
      </c>
      <c r="H45" s="4">
        <f>IF($A45="","",SUMIFS('Time Entries'!J:J,'Time Entries'!O:O,$A45,'Time Entries'!A:A,$O$4+5))</f>
        <v/>
      </c>
      <c r="I45" s="4">
        <f>IF($A45="","",SUMIFS('Time Entries'!J:J,'Time Entries'!O:O,$A45,'Time Entries'!A:A,$O$4+6))</f>
        <v/>
      </c>
      <c r="J45" s="4">
        <f>IF($A45="","",SUM(C45:I45))</f>
        <v/>
      </c>
    </row>
    <row r="46">
      <c r="A46">
        <f>IFERROR(INDEX('Time Entries'!$O:$O,MATCH(ROW()-4,'Time Entries'!$P:$P,0)),"")</f>
        <v/>
      </c>
      <c r="B46">
        <f>IF($A46="","",IFERROR(INDEX('Time Entries'!G:G,MATCH($A46,'Time Entries'!$O:$O,0)),""))</f>
        <v/>
      </c>
      <c r="C46" s="4">
        <f>IF($A46="","",SUMIFS('Time Entries'!J:J,'Time Entries'!O:O,$A46,'Time Entries'!A:A,$O$4+0))</f>
        <v/>
      </c>
      <c r="D46" s="4">
        <f>IF($A46="","",SUMIFS('Time Entries'!J:J,'Time Entries'!O:O,$A46,'Time Entries'!A:A,$O$4+1))</f>
        <v/>
      </c>
      <c r="E46" s="4">
        <f>IF($A46="","",SUMIFS('Time Entries'!J:J,'Time Entries'!O:O,$A46,'Time Entries'!A:A,$O$4+2))</f>
        <v/>
      </c>
      <c r="F46" s="4">
        <f>IF($A46="","",SUMIFS('Time Entries'!J:J,'Time Entries'!O:O,$A46,'Time Entries'!A:A,$O$4+3))</f>
        <v/>
      </c>
      <c r="G46" s="4">
        <f>IF($A46="","",SUMIFS('Time Entries'!J:J,'Time Entries'!O:O,$A46,'Time Entries'!A:A,$O$4+4))</f>
        <v/>
      </c>
      <c r="H46" s="4">
        <f>IF($A46="","",SUMIFS('Time Entries'!J:J,'Time Entries'!O:O,$A46,'Time Entries'!A:A,$O$4+5))</f>
        <v/>
      </c>
      <c r="I46" s="4">
        <f>IF($A46="","",SUMIFS('Time Entries'!J:J,'Time Entries'!O:O,$A46,'Time Entries'!A:A,$O$4+6))</f>
        <v/>
      </c>
      <c r="J46" s="4">
        <f>IF($A46="","",SUM(C46:I46))</f>
        <v/>
      </c>
    </row>
    <row r="47">
      <c r="A47">
        <f>IFERROR(INDEX('Time Entries'!$O:$O,MATCH(ROW()-4,'Time Entries'!$P:$P,0)),"")</f>
        <v/>
      </c>
      <c r="B47">
        <f>IF($A47="","",IFERROR(INDEX('Time Entries'!G:G,MATCH($A47,'Time Entries'!$O:$O,0)),""))</f>
        <v/>
      </c>
      <c r="C47" s="4">
        <f>IF($A47="","",SUMIFS('Time Entries'!J:J,'Time Entries'!O:O,$A47,'Time Entries'!A:A,$O$4+0))</f>
        <v/>
      </c>
      <c r="D47" s="4">
        <f>IF($A47="","",SUMIFS('Time Entries'!J:J,'Time Entries'!O:O,$A47,'Time Entries'!A:A,$O$4+1))</f>
        <v/>
      </c>
      <c r="E47" s="4">
        <f>IF($A47="","",SUMIFS('Time Entries'!J:J,'Time Entries'!O:O,$A47,'Time Entries'!A:A,$O$4+2))</f>
        <v/>
      </c>
      <c r="F47" s="4">
        <f>IF($A47="","",SUMIFS('Time Entries'!J:J,'Time Entries'!O:O,$A47,'Time Entries'!A:A,$O$4+3))</f>
        <v/>
      </c>
      <c r="G47" s="4">
        <f>IF($A47="","",SUMIFS('Time Entries'!J:J,'Time Entries'!O:O,$A47,'Time Entries'!A:A,$O$4+4))</f>
        <v/>
      </c>
      <c r="H47" s="4">
        <f>IF($A47="","",SUMIFS('Time Entries'!J:J,'Time Entries'!O:O,$A47,'Time Entries'!A:A,$O$4+5))</f>
        <v/>
      </c>
      <c r="I47" s="4">
        <f>IF($A47="","",SUMIFS('Time Entries'!J:J,'Time Entries'!O:O,$A47,'Time Entries'!A:A,$O$4+6))</f>
        <v/>
      </c>
      <c r="J47" s="4">
        <f>IF($A47="","",SUM(C47:I47))</f>
        <v/>
      </c>
    </row>
    <row r="48">
      <c r="A48">
        <f>IFERROR(INDEX('Time Entries'!$O:$O,MATCH(ROW()-4,'Time Entries'!$P:$P,0)),"")</f>
        <v/>
      </c>
      <c r="B48">
        <f>IF($A48="","",IFERROR(INDEX('Time Entries'!G:G,MATCH($A48,'Time Entries'!$O:$O,0)),""))</f>
        <v/>
      </c>
      <c r="C48" s="4">
        <f>IF($A48="","",SUMIFS('Time Entries'!J:J,'Time Entries'!O:O,$A48,'Time Entries'!A:A,$O$4+0))</f>
        <v/>
      </c>
      <c r="D48" s="4">
        <f>IF($A48="","",SUMIFS('Time Entries'!J:J,'Time Entries'!O:O,$A48,'Time Entries'!A:A,$O$4+1))</f>
        <v/>
      </c>
      <c r="E48" s="4">
        <f>IF($A48="","",SUMIFS('Time Entries'!J:J,'Time Entries'!O:O,$A48,'Time Entries'!A:A,$O$4+2))</f>
        <v/>
      </c>
      <c r="F48" s="4">
        <f>IF($A48="","",SUMIFS('Time Entries'!J:J,'Time Entries'!O:O,$A48,'Time Entries'!A:A,$O$4+3))</f>
        <v/>
      </c>
      <c r="G48" s="4">
        <f>IF($A48="","",SUMIFS('Time Entries'!J:J,'Time Entries'!O:O,$A48,'Time Entries'!A:A,$O$4+4))</f>
        <v/>
      </c>
      <c r="H48" s="4">
        <f>IF($A48="","",SUMIFS('Time Entries'!J:J,'Time Entries'!O:O,$A48,'Time Entries'!A:A,$O$4+5))</f>
        <v/>
      </c>
      <c r="I48" s="4">
        <f>IF($A48="","",SUMIFS('Time Entries'!J:J,'Time Entries'!O:O,$A48,'Time Entries'!A:A,$O$4+6))</f>
        <v/>
      </c>
      <c r="J48" s="4">
        <f>IF($A48="","",SUM(C48:I48))</f>
        <v/>
      </c>
    </row>
    <row r="49">
      <c r="A49">
        <f>IFERROR(INDEX('Time Entries'!$O:$O,MATCH(ROW()-4,'Time Entries'!$P:$P,0)),"")</f>
        <v/>
      </c>
      <c r="B49">
        <f>IF($A49="","",IFERROR(INDEX('Time Entries'!G:G,MATCH($A49,'Time Entries'!$O:$O,0)),""))</f>
        <v/>
      </c>
      <c r="C49" s="4">
        <f>IF($A49="","",SUMIFS('Time Entries'!J:J,'Time Entries'!O:O,$A49,'Time Entries'!A:A,$O$4+0))</f>
        <v/>
      </c>
      <c r="D49" s="4">
        <f>IF($A49="","",SUMIFS('Time Entries'!J:J,'Time Entries'!O:O,$A49,'Time Entries'!A:A,$O$4+1))</f>
        <v/>
      </c>
      <c r="E49" s="4">
        <f>IF($A49="","",SUMIFS('Time Entries'!J:J,'Time Entries'!O:O,$A49,'Time Entries'!A:A,$O$4+2))</f>
        <v/>
      </c>
      <c r="F49" s="4">
        <f>IF($A49="","",SUMIFS('Time Entries'!J:J,'Time Entries'!O:O,$A49,'Time Entries'!A:A,$O$4+3))</f>
        <v/>
      </c>
      <c r="G49" s="4">
        <f>IF($A49="","",SUMIFS('Time Entries'!J:J,'Time Entries'!O:O,$A49,'Time Entries'!A:A,$O$4+4))</f>
        <v/>
      </c>
      <c r="H49" s="4">
        <f>IF($A49="","",SUMIFS('Time Entries'!J:J,'Time Entries'!O:O,$A49,'Time Entries'!A:A,$O$4+5))</f>
        <v/>
      </c>
      <c r="I49" s="4">
        <f>IF($A49="","",SUMIFS('Time Entries'!J:J,'Time Entries'!O:O,$A49,'Time Entries'!A:A,$O$4+6))</f>
        <v/>
      </c>
      <c r="J49" s="4">
        <f>IF($A49="","",SUM(C49:I49))</f>
        <v/>
      </c>
    </row>
    <row r="50">
      <c r="A50">
        <f>IFERROR(INDEX('Time Entries'!$O:$O,MATCH(ROW()-4,'Time Entries'!$P:$P,0)),"")</f>
        <v/>
      </c>
      <c r="B50">
        <f>IF($A50="","",IFERROR(INDEX('Time Entries'!G:G,MATCH($A50,'Time Entries'!$O:$O,0)),""))</f>
        <v/>
      </c>
      <c r="C50" s="4">
        <f>IF($A50="","",SUMIFS('Time Entries'!J:J,'Time Entries'!O:O,$A50,'Time Entries'!A:A,$O$4+0))</f>
        <v/>
      </c>
      <c r="D50" s="4">
        <f>IF($A50="","",SUMIFS('Time Entries'!J:J,'Time Entries'!O:O,$A50,'Time Entries'!A:A,$O$4+1))</f>
        <v/>
      </c>
      <c r="E50" s="4">
        <f>IF($A50="","",SUMIFS('Time Entries'!J:J,'Time Entries'!O:O,$A50,'Time Entries'!A:A,$O$4+2))</f>
        <v/>
      </c>
      <c r="F50" s="4">
        <f>IF($A50="","",SUMIFS('Time Entries'!J:J,'Time Entries'!O:O,$A50,'Time Entries'!A:A,$O$4+3))</f>
        <v/>
      </c>
      <c r="G50" s="4">
        <f>IF($A50="","",SUMIFS('Time Entries'!J:J,'Time Entries'!O:O,$A50,'Time Entries'!A:A,$O$4+4))</f>
        <v/>
      </c>
      <c r="H50" s="4">
        <f>IF($A50="","",SUMIFS('Time Entries'!J:J,'Time Entries'!O:O,$A50,'Time Entries'!A:A,$O$4+5))</f>
        <v/>
      </c>
      <c r="I50" s="4">
        <f>IF($A50="","",SUMIFS('Time Entries'!J:J,'Time Entries'!O:O,$A50,'Time Entries'!A:A,$O$4+6))</f>
        <v/>
      </c>
      <c r="J50" s="4">
        <f>IF($A50="","",SUM(C50:I50))</f>
        <v/>
      </c>
    </row>
    <row r="51">
      <c r="A51">
        <f>IFERROR(INDEX('Time Entries'!$O:$O,MATCH(ROW()-4,'Time Entries'!$P:$P,0)),"")</f>
        <v/>
      </c>
      <c r="B51">
        <f>IF($A51="","",IFERROR(INDEX('Time Entries'!G:G,MATCH($A51,'Time Entries'!$O:$O,0)),""))</f>
        <v/>
      </c>
      <c r="C51" s="4">
        <f>IF($A51="","",SUMIFS('Time Entries'!J:J,'Time Entries'!O:O,$A51,'Time Entries'!A:A,$O$4+0))</f>
        <v/>
      </c>
      <c r="D51" s="4">
        <f>IF($A51="","",SUMIFS('Time Entries'!J:J,'Time Entries'!O:O,$A51,'Time Entries'!A:A,$O$4+1))</f>
        <v/>
      </c>
      <c r="E51" s="4">
        <f>IF($A51="","",SUMIFS('Time Entries'!J:J,'Time Entries'!O:O,$A51,'Time Entries'!A:A,$O$4+2))</f>
        <v/>
      </c>
      <c r="F51" s="4">
        <f>IF($A51="","",SUMIFS('Time Entries'!J:J,'Time Entries'!O:O,$A51,'Time Entries'!A:A,$O$4+3))</f>
        <v/>
      </c>
      <c r="G51" s="4">
        <f>IF($A51="","",SUMIFS('Time Entries'!J:J,'Time Entries'!O:O,$A51,'Time Entries'!A:A,$O$4+4))</f>
        <v/>
      </c>
      <c r="H51" s="4">
        <f>IF($A51="","",SUMIFS('Time Entries'!J:J,'Time Entries'!O:O,$A51,'Time Entries'!A:A,$O$4+5))</f>
        <v/>
      </c>
      <c r="I51" s="4">
        <f>IF($A51="","",SUMIFS('Time Entries'!J:J,'Time Entries'!O:O,$A51,'Time Entries'!A:A,$O$4+6))</f>
        <v/>
      </c>
      <c r="J51" s="4">
        <f>IF($A51="","",SUM(C51:I51))</f>
        <v/>
      </c>
    </row>
    <row r="52">
      <c r="A52">
        <f>IFERROR(INDEX('Time Entries'!$O:$O,MATCH(ROW()-4,'Time Entries'!$P:$P,0)),"")</f>
        <v/>
      </c>
      <c r="B52">
        <f>IF($A52="","",IFERROR(INDEX('Time Entries'!G:G,MATCH($A52,'Time Entries'!$O:$O,0)),""))</f>
        <v/>
      </c>
      <c r="C52" s="4">
        <f>IF($A52="","",SUMIFS('Time Entries'!J:J,'Time Entries'!O:O,$A52,'Time Entries'!A:A,$O$4+0))</f>
        <v/>
      </c>
      <c r="D52" s="4">
        <f>IF($A52="","",SUMIFS('Time Entries'!J:J,'Time Entries'!O:O,$A52,'Time Entries'!A:A,$O$4+1))</f>
        <v/>
      </c>
      <c r="E52" s="4">
        <f>IF($A52="","",SUMIFS('Time Entries'!J:J,'Time Entries'!O:O,$A52,'Time Entries'!A:A,$O$4+2))</f>
        <v/>
      </c>
      <c r="F52" s="4">
        <f>IF($A52="","",SUMIFS('Time Entries'!J:J,'Time Entries'!O:O,$A52,'Time Entries'!A:A,$O$4+3))</f>
        <v/>
      </c>
      <c r="G52" s="4">
        <f>IF($A52="","",SUMIFS('Time Entries'!J:J,'Time Entries'!O:O,$A52,'Time Entries'!A:A,$O$4+4))</f>
        <v/>
      </c>
      <c r="H52" s="4">
        <f>IF($A52="","",SUMIFS('Time Entries'!J:J,'Time Entries'!O:O,$A52,'Time Entries'!A:A,$O$4+5))</f>
        <v/>
      </c>
      <c r="I52" s="4">
        <f>IF($A52="","",SUMIFS('Time Entries'!J:J,'Time Entries'!O:O,$A52,'Time Entries'!A:A,$O$4+6))</f>
        <v/>
      </c>
      <c r="J52" s="4">
        <f>IF($A52="","",SUM(C52:I52))</f>
        <v/>
      </c>
    </row>
    <row r="53">
      <c r="A53">
        <f>IFERROR(INDEX('Time Entries'!$O:$O,MATCH(ROW()-4,'Time Entries'!$P:$P,0)),"")</f>
        <v/>
      </c>
      <c r="B53">
        <f>IF($A53="","",IFERROR(INDEX('Time Entries'!G:G,MATCH($A53,'Time Entries'!$O:$O,0)),""))</f>
        <v/>
      </c>
      <c r="C53" s="4">
        <f>IF($A53="","",SUMIFS('Time Entries'!J:J,'Time Entries'!O:O,$A53,'Time Entries'!A:A,$O$4+0))</f>
        <v/>
      </c>
      <c r="D53" s="4">
        <f>IF($A53="","",SUMIFS('Time Entries'!J:J,'Time Entries'!O:O,$A53,'Time Entries'!A:A,$O$4+1))</f>
        <v/>
      </c>
      <c r="E53" s="4">
        <f>IF($A53="","",SUMIFS('Time Entries'!J:J,'Time Entries'!O:O,$A53,'Time Entries'!A:A,$O$4+2))</f>
        <v/>
      </c>
      <c r="F53" s="4">
        <f>IF($A53="","",SUMIFS('Time Entries'!J:J,'Time Entries'!O:O,$A53,'Time Entries'!A:A,$O$4+3))</f>
        <v/>
      </c>
      <c r="G53" s="4">
        <f>IF($A53="","",SUMIFS('Time Entries'!J:J,'Time Entries'!O:O,$A53,'Time Entries'!A:A,$O$4+4))</f>
        <v/>
      </c>
      <c r="H53" s="4">
        <f>IF($A53="","",SUMIFS('Time Entries'!J:J,'Time Entries'!O:O,$A53,'Time Entries'!A:A,$O$4+5))</f>
        <v/>
      </c>
      <c r="I53" s="4">
        <f>IF($A53="","",SUMIFS('Time Entries'!J:J,'Time Entries'!O:O,$A53,'Time Entries'!A:A,$O$4+6))</f>
        <v/>
      </c>
      <c r="J53" s="4">
        <f>IF($A53="","",SUM(C53:I53))</f>
        <v/>
      </c>
    </row>
    <row r="54">
      <c r="A54">
        <f>IFERROR(INDEX('Time Entries'!$O:$O,MATCH(ROW()-4,'Time Entries'!$P:$P,0)),"")</f>
        <v/>
      </c>
      <c r="B54">
        <f>IF($A54="","",IFERROR(INDEX('Time Entries'!G:G,MATCH($A54,'Time Entries'!$O:$O,0)),""))</f>
        <v/>
      </c>
      <c r="C54" s="4">
        <f>IF($A54="","",SUMIFS('Time Entries'!J:J,'Time Entries'!O:O,$A54,'Time Entries'!A:A,$O$4+0))</f>
        <v/>
      </c>
      <c r="D54" s="4">
        <f>IF($A54="","",SUMIFS('Time Entries'!J:J,'Time Entries'!O:O,$A54,'Time Entries'!A:A,$O$4+1))</f>
        <v/>
      </c>
      <c r="E54" s="4">
        <f>IF($A54="","",SUMIFS('Time Entries'!J:J,'Time Entries'!O:O,$A54,'Time Entries'!A:A,$O$4+2))</f>
        <v/>
      </c>
      <c r="F54" s="4">
        <f>IF($A54="","",SUMIFS('Time Entries'!J:J,'Time Entries'!O:O,$A54,'Time Entries'!A:A,$O$4+3))</f>
        <v/>
      </c>
      <c r="G54" s="4">
        <f>IF($A54="","",SUMIFS('Time Entries'!J:J,'Time Entries'!O:O,$A54,'Time Entries'!A:A,$O$4+4))</f>
        <v/>
      </c>
      <c r="H54" s="4">
        <f>IF($A54="","",SUMIFS('Time Entries'!J:J,'Time Entries'!O:O,$A54,'Time Entries'!A:A,$O$4+5))</f>
        <v/>
      </c>
      <c r="I54" s="4">
        <f>IF($A54="","",SUMIFS('Time Entries'!J:J,'Time Entries'!O:O,$A54,'Time Entries'!A:A,$O$4+6))</f>
        <v/>
      </c>
      <c r="J54" s="4">
        <f>IF($A54="","",SUM(C54:I54))</f>
        <v/>
      </c>
    </row>
    <row r="55">
      <c r="A55">
        <f>IFERROR(INDEX('Time Entries'!$O:$O,MATCH(ROW()-4,'Time Entries'!$P:$P,0)),"")</f>
        <v/>
      </c>
      <c r="B55">
        <f>IF($A55="","",IFERROR(INDEX('Time Entries'!G:G,MATCH($A55,'Time Entries'!$O:$O,0)),""))</f>
        <v/>
      </c>
      <c r="C55" s="4">
        <f>IF($A55="","",SUMIFS('Time Entries'!J:J,'Time Entries'!O:O,$A55,'Time Entries'!A:A,$O$4+0))</f>
        <v/>
      </c>
      <c r="D55" s="4">
        <f>IF($A55="","",SUMIFS('Time Entries'!J:J,'Time Entries'!O:O,$A55,'Time Entries'!A:A,$O$4+1))</f>
        <v/>
      </c>
      <c r="E55" s="4">
        <f>IF($A55="","",SUMIFS('Time Entries'!J:J,'Time Entries'!O:O,$A55,'Time Entries'!A:A,$O$4+2))</f>
        <v/>
      </c>
      <c r="F55" s="4">
        <f>IF($A55="","",SUMIFS('Time Entries'!J:J,'Time Entries'!O:O,$A55,'Time Entries'!A:A,$O$4+3))</f>
        <v/>
      </c>
      <c r="G55" s="4">
        <f>IF($A55="","",SUMIFS('Time Entries'!J:J,'Time Entries'!O:O,$A55,'Time Entries'!A:A,$O$4+4))</f>
        <v/>
      </c>
      <c r="H55" s="4">
        <f>IF($A55="","",SUMIFS('Time Entries'!J:J,'Time Entries'!O:O,$A55,'Time Entries'!A:A,$O$4+5))</f>
        <v/>
      </c>
      <c r="I55" s="4">
        <f>IF($A55="","",SUMIFS('Time Entries'!J:J,'Time Entries'!O:O,$A55,'Time Entries'!A:A,$O$4+6))</f>
        <v/>
      </c>
      <c r="J55" s="4">
        <f>IF($A55="","",SUM(C55:I55))</f>
        <v/>
      </c>
    </row>
    <row r="56">
      <c r="A56">
        <f>IFERROR(INDEX('Time Entries'!$O:$O,MATCH(ROW()-4,'Time Entries'!$P:$P,0)),"")</f>
        <v/>
      </c>
      <c r="B56">
        <f>IF($A56="","",IFERROR(INDEX('Time Entries'!G:G,MATCH($A56,'Time Entries'!$O:$O,0)),""))</f>
        <v/>
      </c>
      <c r="C56" s="4">
        <f>IF($A56="","",SUMIFS('Time Entries'!J:J,'Time Entries'!O:O,$A56,'Time Entries'!A:A,$O$4+0))</f>
        <v/>
      </c>
      <c r="D56" s="4">
        <f>IF($A56="","",SUMIFS('Time Entries'!J:J,'Time Entries'!O:O,$A56,'Time Entries'!A:A,$O$4+1))</f>
        <v/>
      </c>
      <c r="E56" s="4">
        <f>IF($A56="","",SUMIFS('Time Entries'!J:J,'Time Entries'!O:O,$A56,'Time Entries'!A:A,$O$4+2))</f>
        <v/>
      </c>
      <c r="F56" s="4">
        <f>IF($A56="","",SUMIFS('Time Entries'!J:J,'Time Entries'!O:O,$A56,'Time Entries'!A:A,$O$4+3))</f>
        <v/>
      </c>
      <c r="G56" s="4">
        <f>IF($A56="","",SUMIFS('Time Entries'!J:J,'Time Entries'!O:O,$A56,'Time Entries'!A:A,$O$4+4))</f>
        <v/>
      </c>
      <c r="H56" s="4">
        <f>IF($A56="","",SUMIFS('Time Entries'!J:J,'Time Entries'!O:O,$A56,'Time Entries'!A:A,$O$4+5))</f>
        <v/>
      </c>
      <c r="I56" s="4">
        <f>IF($A56="","",SUMIFS('Time Entries'!J:J,'Time Entries'!O:O,$A56,'Time Entries'!A:A,$O$4+6))</f>
        <v/>
      </c>
      <c r="J56" s="4">
        <f>IF($A56="","",SUM(C56:I56))</f>
        <v/>
      </c>
    </row>
    <row r="57">
      <c r="A57">
        <f>IFERROR(INDEX('Time Entries'!$O:$O,MATCH(ROW()-4,'Time Entries'!$P:$P,0)),"")</f>
        <v/>
      </c>
      <c r="B57">
        <f>IF($A57="","",IFERROR(INDEX('Time Entries'!G:G,MATCH($A57,'Time Entries'!$O:$O,0)),""))</f>
        <v/>
      </c>
      <c r="C57" s="4">
        <f>IF($A57="","",SUMIFS('Time Entries'!J:J,'Time Entries'!O:O,$A57,'Time Entries'!A:A,$O$4+0))</f>
        <v/>
      </c>
      <c r="D57" s="4">
        <f>IF($A57="","",SUMIFS('Time Entries'!J:J,'Time Entries'!O:O,$A57,'Time Entries'!A:A,$O$4+1))</f>
        <v/>
      </c>
      <c r="E57" s="4">
        <f>IF($A57="","",SUMIFS('Time Entries'!J:J,'Time Entries'!O:O,$A57,'Time Entries'!A:A,$O$4+2))</f>
        <v/>
      </c>
      <c r="F57" s="4">
        <f>IF($A57="","",SUMIFS('Time Entries'!J:J,'Time Entries'!O:O,$A57,'Time Entries'!A:A,$O$4+3))</f>
        <v/>
      </c>
      <c r="G57" s="4">
        <f>IF($A57="","",SUMIFS('Time Entries'!J:J,'Time Entries'!O:O,$A57,'Time Entries'!A:A,$O$4+4))</f>
        <v/>
      </c>
      <c r="H57" s="4">
        <f>IF($A57="","",SUMIFS('Time Entries'!J:J,'Time Entries'!O:O,$A57,'Time Entries'!A:A,$O$4+5))</f>
        <v/>
      </c>
      <c r="I57" s="4">
        <f>IF($A57="","",SUMIFS('Time Entries'!J:J,'Time Entries'!O:O,$A57,'Time Entries'!A:A,$O$4+6))</f>
        <v/>
      </c>
      <c r="J57" s="4">
        <f>IF($A57="","",SUM(C57:I57))</f>
        <v/>
      </c>
    </row>
    <row r="58">
      <c r="A58">
        <f>IFERROR(INDEX('Time Entries'!$O:$O,MATCH(ROW()-4,'Time Entries'!$P:$P,0)),"")</f>
        <v/>
      </c>
      <c r="B58">
        <f>IF($A58="","",IFERROR(INDEX('Time Entries'!G:G,MATCH($A58,'Time Entries'!$O:$O,0)),""))</f>
        <v/>
      </c>
      <c r="C58" s="4">
        <f>IF($A58="","",SUMIFS('Time Entries'!J:J,'Time Entries'!O:O,$A58,'Time Entries'!A:A,$O$4+0))</f>
        <v/>
      </c>
      <c r="D58" s="4">
        <f>IF($A58="","",SUMIFS('Time Entries'!J:J,'Time Entries'!O:O,$A58,'Time Entries'!A:A,$O$4+1))</f>
        <v/>
      </c>
      <c r="E58" s="4">
        <f>IF($A58="","",SUMIFS('Time Entries'!J:J,'Time Entries'!O:O,$A58,'Time Entries'!A:A,$O$4+2))</f>
        <v/>
      </c>
      <c r="F58" s="4">
        <f>IF($A58="","",SUMIFS('Time Entries'!J:J,'Time Entries'!O:O,$A58,'Time Entries'!A:A,$O$4+3))</f>
        <v/>
      </c>
      <c r="G58" s="4">
        <f>IF($A58="","",SUMIFS('Time Entries'!J:J,'Time Entries'!O:O,$A58,'Time Entries'!A:A,$O$4+4))</f>
        <v/>
      </c>
      <c r="H58" s="4">
        <f>IF($A58="","",SUMIFS('Time Entries'!J:J,'Time Entries'!O:O,$A58,'Time Entries'!A:A,$O$4+5))</f>
        <v/>
      </c>
      <c r="I58" s="4">
        <f>IF($A58="","",SUMIFS('Time Entries'!J:J,'Time Entries'!O:O,$A58,'Time Entries'!A:A,$O$4+6))</f>
        <v/>
      </c>
      <c r="J58" s="4">
        <f>IF($A58="","",SUM(C58:I58))</f>
        <v/>
      </c>
    </row>
    <row r="59">
      <c r="A59">
        <f>IFERROR(INDEX('Time Entries'!$O:$O,MATCH(ROW()-4,'Time Entries'!$P:$P,0)),"")</f>
        <v/>
      </c>
      <c r="B59">
        <f>IF($A59="","",IFERROR(INDEX('Time Entries'!G:G,MATCH($A59,'Time Entries'!$O:$O,0)),""))</f>
        <v/>
      </c>
      <c r="C59" s="4">
        <f>IF($A59="","",SUMIFS('Time Entries'!J:J,'Time Entries'!O:O,$A59,'Time Entries'!A:A,$O$4+0))</f>
        <v/>
      </c>
      <c r="D59" s="4">
        <f>IF($A59="","",SUMIFS('Time Entries'!J:J,'Time Entries'!O:O,$A59,'Time Entries'!A:A,$O$4+1))</f>
        <v/>
      </c>
      <c r="E59" s="4">
        <f>IF($A59="","",SUMIFS('Time Entries'!J:J,'Time Entries'!O:O,$A59,'Time Entries'!A:A,$O$4+2))</f>
        <v/>
      </c>
      <c r="F59" s="4">
        <f>IF($A59="","",SUMIFS('Time Entries'!J:J,'Time Entries'!O:O,$A59,'Time Entries'!A:A,$O$4+3))</f>
        <v/>
      </c>
      <c r="G59" s="4">
        <f>IF($A59="","",SUMIFS('Time Entries'!J:J,'Time Entries'!O:O,$A59,'Time Entries'!A:A,$O$4+4))</f>
        <v/>
      </c>
      <c r="H59" s="4">
        <f>IF($A59="","",SUMIFS('Time Entries'!J:J,'Time Entries'!O:O,$A59,'Time Entries'!A:A,$O$4+5))</f>
        <v/>
      </c>
      <c r="I59" s="4">
        <f>IF($A59="","",SUMIFS('Time Entries'!J:J,'Time Entries'!O:O,$A59,'Time Entries'!A:A,$O$4+6))</f>
        <v/>
      </c>
      <c r="J59" s="4">
        <f>IF($A59="","",SUM(C59:I59))</f>
        <v/>
      </c>
    </row>
    <row r="60">
      <c r="A60">
        <f>IFERROR(INDEX('Time Entries'!$O:$O,MATCH(ROW()-4,'Time Entries'!$P:$P,0)),"")</f>
        <v/>
      </c>
      <c r="B60">
        <f>IF($A60="","",IFERROR(INDEX('Time Entries'!G:G,MATCH($A60,'Time Entries'!$O:$O,0)),""))</f>
        <v/>
      </c>
      <c r="C60" s="4">
        <f>IF($A60="","",SUMIFS('Time Entries'!J:J,'Time Entries'!O:O,$A60,'Time Entries'!A:A,$O$4+0))</f>
        <v/>
      </c>
      <c r="D60" s="4">
        <f>IF($A60="","",SUMIFS('Time Entries'!J:J,'Time Entries'!O:O,$A60,'Time Entries'!A:A,$O$4+1))</f>
        <v/>
      </c>
      <c r="E60" s="4">
        <f>IF($A60="","",SUMIFS('Time Entries'!J:J,'Time Entries'!O:O,$A60,'Time Entries'!A:A,$O$4+2))</f>
        <v/>
      </c>
      <c r="F60" s="4">
        <f>IF($A60="","",SUMIFS('Time Entries'!J:J,'Time Entries'!O:O,$A60,'Time Entries'!A:A,$O$4+3))</f>
        <v/>
      </c>
      <c r="G60" s="4">
        <f>IF($A60="","",SUMIFS('Time Entries'!J:J,'Time Entries'!O:O,$A60,'Time Entries'!A:A,$O$4+4))</f>
        <v/>
      </c>
      <c r="H60" s="4">
        <f>IF($A60="","",SUMIFS('Time Entries'!J:J,'Time Entries'!O:O,$A60,'Time Entries'!A:A,$O$4+5))</f>
        <v/>
      </c>
      <c r="I60" s="4">
        <f>IF($A60="","",SUMIFS('Time Entries'!J:J,'Time Entries'!O:O,$A60,'Time Entries'!A:A,$O$4+6))</f>
        <v/>
      </c>
      <c r="J60" s="4">
        <f>IF($A60="","",SUM(C60:I60))</f>
        <v/>
      </c>
    </row>
    <row r="61">
      <c r="A61">
        <f>IFERROR(INDEX('Time Entries'!$O:$O,MATCH(ROW()-4,'Time Entries'!$P:$P,0)),"")</f>
        <v/>
      </c>
      <c r="B61">
        <f>IF($A61="","",IFERROR(INDEX('Time Entries'!G:G,MATCH($A61,'Time Entries'!$O:$O,0)),""))</f>
        <v/>
      </c>
      <c r="C61" s="4">
        <f>IF($A61="","",SUMIFS('Time Entries'!J:J,'Time Entries'!O:O,$A61,'Time Entries'!A:A,$O$4+0))</f>
        <v/>
      </c>
      <c r="D61" s="4">
        <f>IF($A61="","",SUMIFS('Time Entries'!J:J,'Time Entries'!O:O,$A61,'Time Entries'!A:A,$O$4+1))</f>
        <v/>
      </c>
      <c r="E61" s="4">
        <f>IF($A61="","",SUMIFS('Time Entries'!J:J,'Time Entries'!O:O,$A61,'Time Entries'!A:A,$O$4+2))</f>
        <v/>
      </c>
      <c r="F61" s="4">
        <f>IF($A61="","",SUMIFS('Time Entries'!J:J,'Time Entries'!O:O,$A61,'Time Entries'!A:A,$O$4+3))</f>
        <v/>
      </c>
      <c r="G61" s="4">
        <f>IF($A61="","",SUMIFS('Time Entries'!J:J,'Time Entries'!O:O,$A61,'Time Entries'!A:A,$O$4+4))</f>
        <v/>
      </c>
      <c r="H61" s="4">
        <f>IF($A61="","",SUMIFS('Time Entries'!J:J,'Time Entries'!O:O,$A61,'Time Entries'!A:A,$O$4+5))</f>
        <v/>
      </c>
      <c r="I61" s="4">
        <f>IF($A61="","",SUMIFS('Time Entries'!J:J,'Time Entries'!O:O,$A61,'Time Entries'!A:A,$O$4+6))</f>
        <v/>
      </c>
      <c r="J61" s="4">
        <f>IF($A61="","",SUM(C61:I61))</f>
        <v/>
      </c>
    </row>
    <row r="62">
      <c r="A62">
        <f>IFERROR(INDEX('Time Entries'!$O:$O,MATCH(ROW()-4,'Time Entries'!$P:$P,0)),"")</f>
        <v/>
      </c>
      <c r="B62">
        <f>IF($A62="","",IFERROR(INDEX('Time Entries'!G:G,MATCH($A62,'Time Entries'!$O:$O,0)),""))</f>
        <v/>
      </c>
      <c r="C62" s="4">
        <f>IF($A62="","",SUMIFS('Time Entries'!J:J,'Time Entries'!O:O,$A62,'Time Entries'!A:A,$O$4+0))</f>
        <v/>
      </c>
      <c r="D62" s="4">
        <f>IF($A62="","",SUMIFS('Time Entries'!J:J,'Time Entries'!O:O,$A62,'Time Entries'!A:A,$O$4+1))</f>
        <v/>
      </c>
      <c r="E62" s="4">
        <f>IF($A62="","",SUMIFS('Time Entries'!J:J,'Time Entries'!O:O,$A62,'Time Entries'!A:A,$O$4+2))</f>
        <v/>
      </c>
      <c r="F62" s="4">
        <f>IF($A62="","",SUMIFS('Time Entries'!J:J,'Time Entries'!O:O,$A62,'Time Entries'!A:A,$O$4+3))</f>
        <v/>
      </c>
      <c r="G62" s="4">
        <f>IF($A62="","",SUMIFS('Time Entries'!J:J,'Time Entries'!O:O,$A62,'Time Entries'!A:A,$O$4+4))</f>
        <v/>
      </c>
      <c r="H62" s="4">
        <f>IF($A62="","",SUMIFS('Time Entries'!J:J,'Time Entries'!O:O,$A62,'Time Entries'!A:A,$O$4+5))</f>
        <v/>
      </c>
      <c r="I62" s="4">
        <f>IF($A62="","",SUMIFS('Time Entries'!J:J,'Time Entries'!O:O,$A62,'Time Entries'!A:A,$O$4+6))</f>
        <v/>
      </c>
      <c r="J62" s="4">
        <f>IF($A62="","",SUM(C62:I62))</f>
        <v/>
      </c>
    </row>
    <row r="63">
      <c r="A63">
        <f>IFERROR(INDEX('Time Entries'!$O:$O,MATCH(ROW()-4,'Time Entries'!$P:$P,0)),"")</f>
        <v/>
      </c>
      <c r="B63">
        <f>IF($A63="","",IFERROR(INDEX('Time Entries'!G:G,MATCH($A63,'Time Entries'!$O:$O,0)),""))</f>
        <v/>
      </c>
      <c r="C63" s="4">
        <f>IF($A63="","",SUMIFS('Time Entries'!J:J,'Time Entries'!O:O,$A63,'Time Entries'!A:A,$O$4+0))</f>
        <v/>
      </c>
      <c r="D63" s="4">
        <f>IF($A63="","",SUMIFS('Time Entries'!J:J,'Time Entries'!O:O,$A63,'Time Entries'!A:A,$O$4+1))</f>
        <v/>
      </c>
      <c r="E63" s="4">
        <f>IF($A63="","",SUMIFS('Time Entries'!J:J,'Time Entries'!O:O,$A63,'Time Entries'!A:A,$O$4+2))</f>
        <v/>
      </c>
      <c r="F63" s="4">
        <f>IF($A63="","",SUMIFS('Time Entries'!J:J,'Time Entries'!O:O,$A63,'Time Entries'!A:A,$O$4+3))</f>
        <v/>
      </c>
      <c r="G63" s="4">
        <f>IF($A63="","",SUMIFS('Time Entries'!J:J,'Time Entries'!O:O,$A63,'Time Entries'!A:A,$O$4+4))</f>
        <v/>
      </c>
      <c r="H63" s="4">
        <f>IF($A63="","",SUMIFS('Time Entries'!J:J,'Time Entries'!O:O,$A63,'Time Entries'!A:A,$O$4+5))</f>
        <v/>
      </c>
      <c r="I63" s="4">
        <f>IF($A63="","",SUMIFS('Time Entries'!J:J,'Time Entries'!O:O,$A63,'Time Entries'!A:A,$O$4+6))</f>
        <v/>
      </c>
      <c r="J63" s="4">
        <f>IF($A63="","",SUM(C63:I63))</f>
        <v/>
      </c>
    </row>
    <row r="64">
      <c r="A64">
        <f>IFERROR(INDEX('Time Entries'!$O:$O,MATCH(ROW()-4,'Time Entries'!$P:$P,0)),"")</f>
        <v/>
      </c>
      <c r="B64">
        <f>IF($A64="","",IFERROR(INDEX('Time Entries'!G:G,MATCH($A64,'Time Entries'!$O:$O,0)),""))</f>
        <v/>
      </c>
      <c r="C64" s="4">
        <f>IF($A64="","",SUMIFS('Time Entries'!J:J,'Time Entries'!O:O,$A64,'Time Entries'!A:A,$O$4+0))</f>
        <v/>
      </c>
      <c r="D64" s="4">
        <f>IF($A64="","",SUMIFS('Time Entries'!J:J,'Time Entries'!O:O,$A64,'Time Entries'!A:A,$O$4+1))</f>
        <v/>
      </c>
      <c r="E64" s="4">
        <f>IF($A64="","",SUMIFS('Time Entries'!J:J,'Time Entries'!O:O,$A64,'Time Entries'!A:A,$O$4+2))</f>
        <v/>
      </c>
      <c r="F64" s="4">
        <f>IF($A64="","",SUMIFS('Time Entries'!J:J,'Time Entries'!O:O,$A64,'Time Entries'!A:A,$O$4+3))</f>
        <v/>
      </c>
      <c r="G64" s="4">
        <f>IF($A64="","",SUMIFS('Time Entries'!J:J,'Time Entries'!O:O,$A64,'Time Entries'!A:A,$O$4+4))</f>
        <v/>
      </c>
      <c r="H64" s="4">
        <f>IF($A64="","",SUMIFS('Time Entries'!J:J,'Time Entries'!O:O,$A64,'Time Entries'!A:A,$O$4+5))</f>
        <v/>
      </c>
      <c r="I64" s="4">
        <f>IF($A64="","",SUMIFS('Time Entries'!J:J,'Time Entries'!O:O,$A64,'Time Entries'!A:A,$O$4+6))</f>
        <v/>
      </c>
      <c r="J64" s="4">
        <f>IF($A64="","",SUM(C64:I64))</f>
        <v/>
      </c>
    </row>
    <row r="66">
      <c r="A66" s="10" t="inlineStr">
        <is>
          <t>GRAND TOTAL</t>
        </is>
      </c>
      <c r="C66" s="11">
        <f>SUM(C5:C64)</f>
        <v/>
      </c>
      <c r="D66" s="11">
        <f>SUM(D5:D64)</f>
        <v/>
      </c>
      <c r="E66" s="11">
        <f>SUM(E5:E64)</f>
        <v/>
      </c>
      <c r="F66" s="11">
        <f>SUM(F5:F64)</f>
        <v/>
      </c>
      <c r="G66" s="11">
        <f>SUM(G5:G64)</f>
        <v/>
      </c>
      <c r="H66" s="11">
        <f>SUM(H5:H64)</f>
        <v/>
      </c>
      <c r="I66" s="11">
        <f>SUM(I5:I64)</f>
        <v/>
      </c>
      <c r="J66" s="11">
        <f>SUM(J5:J64)</f>
        <v/>
      </c>
      <c r="K66" s="11">
        <f>SUM(K5:K64)</f>
        <v/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5" customWidth="1" min="4" max="4"/>
    <col width="15" customWidth="1" min="5" max="5"/>
    <col width="12" customWidth="1" min="6" max="6"/>
    <col width="50" customWidth="1" min="7" max="7"/>
    <col hidden="1" width="10" customWidth="1" min="8" max="8"/>
    <col hidden="1" width="10" customWidth="1" min="9" max="9"/>
  </cols>
  <sheetData>
    <row r="1">
      <c r="A1" s="12" t="inlineStr">
        <is>
          <t>Daily Detail</t>
        </is>
      </c>
      <c r="C1" s="13">
        <f>MAX('Time Entries'!A:A)</f>
        <v/>
      </c>
      <c r="D1" s="14" t="inlineStr">
        <is>
          <t>(Edit C1 to change date)</t>
        </is>
      </c>
    </row>
    <row r="2">
      <c r="A2" s="15">
        <f>TEXT(C1,"dd-mm-yyyy")</f>
        <v/>
      </c>
    </row>
    <row r="3">
      <c r="A3" s="1" t="inlineStr">
        <is>
          <t>Time Range</t>
        </is>
      </c>
      <c r="B3" s="1" t="inlineStr">
        <is>
          <t>Project</t>
        </is>
      </c>
      <c r="C3" s="1" t="inlineStr">
        <is>
          <t>Father Task</t>
        </is>
      </c>
      <c r="D3" s="1" t="inlineStr">
        <is>
          <t>Sub Task Code</t>
        </is>
      </c>
      <c r="E3" s="1" t="inlineStr">
        <is>
          <t>Category</t>
        </is>
      </c>
      <c r="F3" s="1" t="inlineStr">
        <is>
          <t>Duration (h)</t>
        </is>
      </c>
      <c r="G3" s="1" t="inlineStr">
        <is>
          <t>Description</t>
        </is>
      </c>
    </row>
    <row r="4">
      <c r="A4" s="16">
        <f>IF($H4="","",IF(INDEX('Time Entries'!G:G,$H4)="","",INDEX('Time Entries'!G:G,$H4)&amp;" - "&amp;INDEX('Time Entries'!H:H,$H4)))</f>
        <v/>
      </c>
      <c r="B4" s="16">
        <f>IF($H4="","",IF(INDEX('Time Entries'!G:G,$H4)="","",INDEX('Time Entries'!M:M,$H4)))</f>
        <v/>
      </c>
      <c r="C4" s="16">
        <f>IF($H4="","",IF(INDEX('Time Entries'!G:G,$H4)="","",INDEX('Time Entries'!N:N,$H4)))</f>
        <v/>
      </c>
      <c r="D4" s="16">
        <f>IF($H4="","",IF(INDEX('Time Entries'!G:G,$H4)="","",INDEX('Time Entries'!F:F,$H4)))</f>
        <v/>
      </c>
      <c r="E4" s="16">
        <f>IF($H4="","",IF(INDEX('Time Entries'!G:G,$H4)="","",INDEX('Time Entries'!G:G,$H4)))</f>
        <v/>
      </c>
      <c r="F4" s="17">
        <f>IF($H4="","",IF(INDEX('Time Entries'!G:G,$H4)="","",INDEX('Time Entries'!J:J,$H4)))</f>
        <v/>
      </c>
      <c r="G4" s="18">
        <f>IF($H4="","",IF(INDEX('Time Entries'!G:G,$H4)="","",INDEX('Time Entries'!K:K,$H4)))</f>
        <v/>
      </c>
      <c r="H4">
        <f>IFERROR(MATCH($C$1,'Time Entries'!A:A,0),"")</f>
        <v/>
      </c>
      <c r="I4">
        <f>IFERROR(COUNTIF('Time Entries'!A:A,$C$1),"")</f>
        <v/>
      </c>
    </row>
    <row r="5">
      <c r="A5" s="16">
        <f>IF($H5="","",IF(INDEX('Time Entries'!G:G,$H5)="","",INDEX('Time Entries'!G:G,$H5)&amp;" - "&amp;INDEX('Time Entries'!H:H,$H5)))</f>
        <v/>
      </c>
      <c r="B5" s="16">
        <f>IF($H5="","",IF(INDEX('Time Entries'!G:G,$H5)="","",INDEX('Time Entries'!M:M,$H5)))</f>
        <v/>
      </c>
      <c r="C5" s="16">
        <f>IF($H5="","",IF(INDEX('Time Entries'!G:G,$H5)="","",INDEX('Time Entries'!N:N,$H5)))</f>
        <v/>
      </c>
      <c r="D5" s="16">
        <f>IF($H5="","",IF(INDEX('Time Entries'!G:G,$H5)="","",INDEX('Time Entries'!F:F,$H5)))</f>
        <v/>
      </c>
      <c r="E5" s="16">
        <f>IF($H5="","",IF(INDEX('Time Entries'!G:G,$H5)="","",INDEX('Time Entries'!G:G,$H5)))</f>
        <v/>
      </c>
      <c r="F5" s="17">
        <f>IF($H5="","",IF(INDEX('Time Entries'!G:G,$H5)="","",INDEX('Time Entries'!J:J,$H5)))</f>
        <v/>
      </c>
      <c r="G5" s="18">
        <f>IF($H5="","",IF(INDEX('Time Entries'!G:G,$H5)="","",INDEX('Time Entries'!K:K,$H5)))</f>
        <v/>
      </c>
      <c r="H5">
        <f>IF(AND($I$4&gt;=ROW()-3,$H$4&lt;&gt;""),$H$4+ROW()-4,"")</f>
        <v/>
      </c>
    </row>
    <row r="6">
      <c r="A6" s="16">
        <f>IF($H6="","",IF(INDEX('Time Entries'!G:G,$H6)="","",INDEX('Time Entries'!G:G,$H6)&amp;" - "&amp;INDEX('Time Entries'!H:H,$H6)))</f>
        <v/>
      </c>
      <c r="B6" s="16">
        <f>IF($H6="","",IF(INDEX('Time Entries'!G:G,$H6)="","",INDEX('Time Entries'!M:M,$H6)))</f>
        <v/>
      </c>
      <c r="C6" s="16">
        <f>IF($H6="","",IF(INDEX('Time Entries'!G:G,$H6)="","",INDEX('Time Entries'!N:N,$H6)))</f>
        <v/>
      </c>
      <c r="D6" s="16">
        <f>IF($H6="","",IF(INDEX('Time Entries'!G:G,$H6)="","",INDEX('Time Entries'!F:F,$H6)))</f>
        <v/>
      </c>
      <c r="E6" s="16">
        <f>IF($H6="","",IF(INDEX('Time Entries'!G:G,$H6)="","",INDEX('Time Entries'!G:G,$H6)))</f>
        <v/>
      </c>
      <c r="F6" s="17">
        <f>IF($H6="","",IF(INDEX('Time Entries'!G:G,$H6)="","",INDEX('Time Entries'!J:J,$H6)))</f>
        <v/>
      </c>
      <c r="G6" s="18">
        <f>IF($H6="","",IF(INDEX('Time Entries'!G:G,$H6)="","",INDEX('Time Entries'!K:K,$H6)))</f>
        <v/>
      </c>
      <c r="H6">
        <f>IF(AND($I$4&gt;=ROW()-3,$H$4&lt;&gt;""),$H$4+ROW()-4,"")</f>
        <v/>
      </c>
    </row>
    <row r="7">
      <c r="A7" s="16">
        <f>IF($H7="","",IF(INDEX('Time Entries'!G:G,$H7)="","",INDEX('Time Entries'!G:G,$H7)&amp;" - "&amp;INDEX('Time Entries'!H:H,$H7)))</f>
        <v/>
      </c>
      <c r="B7" s="16">
        <f>IF($H7="","",IF(INDEX('Time Entries'!G:G,$H7)="","",INDEX('Time Entries'!M:M,$H7)))</f>
        <v/>
      </c>
      <c r="C7" s="16">
        <f>IF($H7="","",IF(INDEX('Time Entries'!G:G,$H7)="","",INDEX('Time Entries'!N:N,$H7)))</f>
        <v/>
      </c>
      <c r="D7" s="16">
        <f>IF($H7="","",IF(INDEX('Time Entries'!G:G,$H7)="","",INDEX('Time Entries'!F:F,$H7)))</f>
        <v/>
      </c>
      <c r="E7" s="16">
        <f>IF($H7="","",IF(INDEX('Time Entries'!G:G,$H7)="","",INDEX('Time Entries'!G:G,$H7)))</f>
        <v/>
      </c>
      <c r="F7" s="17">
        <f>IF($H7="","",IF(INDEX('Time Entries'!G:G,$H7)="","",INDEX('Time Entries'!J:J,$H7)))</f>
        <v/>
      </c>
      <c r="G7" s="18">
        <f>IF($H7="","",IF(INDEX('Time Entries'!G:G,$H7)="","",INDEX('Time Entries'!K:K,$H7)))</f>
        <v/>
      </c>
      <c r="H7">
        <f>IF(AND($I$4&gt;=ROW()-3,$H$4&lt;&gt;""),$H$4+ROW()-4,"")</f>
        <v/>
      </c>
    </row>
    <row r="8">
      <c r="A8" s="16">
        <f>IF($H8="","",IF(INDEX('Time Entries'!G:G,$H8)="","",INDEX('Time Entries'!G:G,$H8)&amp;" - "&amp;INDEX('Time Entries'!H:H,$H8)))</f>
        <v/>
      </c>
      <c r="B8" s="16">
        <f>IF($H8="","",IF(INDEX('Time Entries'!G:G,$H8)="","",INDEX('Time Entries'!M:M,$H8)))</f>
        <v/>
      </c>
      <c r="C8" s="16">
        <f>IF($H8="","",IF(INDEX('Time Entries'!G:G,$H8)="","",INDEX('Time Entries'!N:N,$H8)))</f>
        <v/>
      </c>
      <c r="D8" s="16">
        <f>IF($H8="","",IF(INDEX('Time Entries'!G:G,$H8)="","",INDEX('Time Entries'!F:F,$H8)))</f>
        <v/>
      </c>
      <c r="E8" s="16">
        <f>IF($H8="","",IF(INDEX('Time Entries'!G:G,$H8)="","",INDEX('Time Entries'!G:G,$H8)))</f>
        <v/>
      </c>
      <c r="F8" s="17">
        <f>IF($H8="","",IF(INDEX('Time Entries'!G:G,$H8)="","",INDEX('Time Entries'!J:J,$H8)))</f>
        <v/>
      </c>
      <c r="G8" s="18">
        <f>IF($H8="","",IF(INDEX('Time Entries'!G:G,$H8)="","",INDEX('Time Entries'!K:K,$H8)))</f>
        <v/>
      </c>
      <c r="H8">
        <f>IF(AND($I$4&gt;=ROW()-3,$H$4&lt;&gt;""),$H$4+ROW()-4,"")</f>
        <v/>
      </c>
    </row>
    <row r="9">
      <c r="A9" s="16">
        <f>IF($H9="","",IF(INDEX('Time Entries'!G:G,$H9)="","",INDEX('Time Entries'!G:G,$H9)&amp;" - "&amp;INDEX('Time Entries'!H:H,$H9)))</f>
        <v/>
      </c>
      <c r="B9" s="16">
        <f>IF($H9="","",IF(INDEX('Time Entries'!G:G,$H9)="","",INDEX('Time Entries'!M:M,$H9)))</f>
        <v/>
      </c>
      <c r="C9" s="16">
        <f>IF($H9="","",IF(INDEX('Time Entries'!G:G,$H9)="","",INDEX('Time Entries'!N:N,$H9)))</f>
        <v/>
      </c>
      <c r="D9" s="16">
        <f>IF($H9="","",IF(INDEX('Time Entries'!G:G,$H9)="","",INDEX('Time Entries'!F:F,$H9)))</f>
        <v/>
      </c>
      <c r="E9" s="16">
        <f>IF($H9="","",IF(INDEX('Time Entries'!G:G,$H9)="","",INDEX('Time Entries'!G:G,$H9)))</f>
        <v/>
      </c>
      <c r="F9" s="17">
        <f>IF($H9="","",IF(INDEX('Time Entries'!G:G,$H9)="","",INDEX('Time Entries'!J:J,$H9)))</f>
        <v/>
      </c>
      <c r="G9" s="18">
        <f>IF($H9="","",IF(INDEX('Time Entries'!G:G,$H9)="","",INDEX('Time Entries'!K:K,$H9)))</f>
        <v/>
      </c>
      <c r="H9">
        <f>IF(AND($I$4&gt;=ROW()-3,$H$4&lt;&gt;""),$H$4+ROW()-4,"")</f>
        <v/>
      </c>
    </row>
    <row r="10">
      <c r="A10" s="16">
        <f>IF($H10="","",IF(INDEX('Time Entries'!G:G,$H10)="","",INDEX('Time Entries'!G:G,$H10)&amp;" - "&amp;INDEX('Time Entries'!H:H,$H10)))</f>
        <v/>
      </c>
      <c r="B10" s="16">
        <f>IF($H10="","",IF(INDEX('Time Entries'!G:G,$H10)="","",INDEX('Time Entries'!M:M,$H10)))</f>
        <v/>
      </c>
      <c r="C10" s="16">
        <f>IF($H10="","",IF(INDEX('Time Entries'!G:G,$H10)="","",INDEX('Time Entries'!N:N,$H10)))</f>
        <v/>
      </c>
      <c r="D10" s="16">
        <f>IF($H10="","",IF(INDEX('Time Entries'!G:G,$H10)="","",INDEX('Time Entries'!F:F,$H10)))</f>
        <v/>
      </c>
      <c r="E10" s="16">
        <f>IF($H10="","",IF(INDEX('Time Entries'!G:G,$H10)="","",INDEX('Time Entries'!G:G,$H10)))</f>
        <v/>
      </c>
      <c r="F10" s="17">
        <f>IF($H10="","",IF(INDEX('Time Entries'!G:G,$H10)="","",INDEX('Time Entries'!J:J,$H10)))</f>
        <v/>
      </c>
      <c r="G10" s="18">
        <f>IF($H10="","",IF(INDEX('Time Entries'!G:G,$H10)="","",INDEX('Time Entries'!K:K,$H10)))</f>
        <v/>
      </c>
      <c r="H10">
        <f>IF(AND($I$4&gt;=ROW()-3,$H$4&lt;&gt;""),$H$4+ROW()-4,"")</f>
        <v/>
      </c>
    </row>
    <row r="11">
      <c r="A11" s="16">
        <f>IF($H11="","",IF(INDEX('Time Entries'!G:G,$H11)="","",INDEX('Time Entries'!G:G,$H11)&amp;" - "&amp;INDEX('Time Entries'!H:H,$H11)))</f>
        <v/>
      </c>
      <c r="B11" s="16">
        <f>IF($H11="","",IF(INDEX('Time Entries'!G:G,$H11)="","",INDEX('Time Entries'!M:M,$H11)))</f>
        <v/>
      </c>
      <c r="C11" s="16">
        <f>IF($H11="","",IF(INDEX('Time Entries'!G:G,$H11)="","",INDEX('Time Entries'!N:N,$H11)))</f>
        <v/>
      </c>
      <c r="D11" s="16">
        <f>IF($H11="","",IF(INDEX('Time Entries'!G:G,$H11)="","",INDEX('Time Entries'!F:F,$H11)))</f>
        <v/>
      </c>
      <c r="E11" s="16">
        <f>IF($H11="","",IF(INDEX('Time Entries'!G:G,$H11)="","",INDEX('Time Entries'!G:G,$H11)))</f>
        <v/>
      </c>
      <c r="F11" s="17">
        <f>IF($H11="","",IF(INDEX('Time Entries'!G:G,$H11)="","",INDEX('Time Entries'!J:J,$H11)))</f>
        <v/>
      </c>
      <c r="G11" s="18">
        <f>IF($H11="","",IF(INDEX('Time Entries'!G:G,$H11)="","",INDEX('Time Entries'!K:K,$H11)))</f>
        <v/>
      </c>
      <c r="H11">
        <f>IF(AND($I$4&gt;=ROW()-3,$H$4&lt;&gt;""),$H$4+ROW()-4,"")</f>
        <v/>
      </c>
    </row>
    <row r="12">
      <c r="A12" s="16">
        <f>IF($H12="","",IF(INDEX('Time Entries'!G:G,$H12)="","",INDEX('Time Entries'!G:G,$H12)&amp;" - "&amp;INDEX('Time Entries'!H:H,$H12)))</f>
        <v/>
      </c>
      <c r="B12" s="16">
        <f>IF($H12="","",IF(INDEX('Time Entries'!G:G,$H12)="","",INDEX('Time Entries'!M:M,$H12)))</f>
        <v/>
      </c>
      <c r="C12" s="16">
        <f>IF($H12="","",IF(INDEX('Time Entries'!G:G,$H12)="","",INDEX('Time Entries'!N:N,$H12)))</f>
        <v/>
      </c>
      <c r="D12" s="16">
        <f>IF($H12="","",IF(INDEX('Time Entries'!G:G,$H12)="","",INDEX('Time Entries'!F:F,$H12)))</f>
        <v/>
      </c>
      <c r="E12" s="16">
        <f>IF($H12="","",IF(INDEX('Time Entries'!G:G,$H12)="","",INDEX('Time Entries'!G:G,$H12)))</f>
        <v/>
      </c>
      <c r="F12" s="17">
        <f>IF($H12="","",IF(INDEX('Time Entries'!G:G,$H12)="","",INDEX('Time Entries'!J:J,$H12)))</f>
        <v/>
      </c>
      <c r="G12" s="18">
        <f>IF($H12="","",IF(INDEX('Time Entries'!G:G,$H12)="","",INDEX('Time Entries'!K:K,$H12)))</f>
        <v/>
      </c>
      <c r="H12">
        <f>IF(AND($I$4&gt;=ROW()-3,$H$4&lt;&gt;""),$H$4+ROW()-4,"")</f>
        <v/>
      </c>
    </row>
    <row r="13">
      <c r="A13" s="16">
        <f>IF($H13="","",IF(INDEX('Time Entries'!G:G,$H13)="","",INDEX('Time Entries'!G:G,$H13)&amp;" - "&amp;INDEX('Time Entries'!H:H,$H13)))</f>
        <v/>
      </c>
      <c r="B13" s="16">
        <f>IF($H13="","",IF(INDEX('Time Entries'!G:G,$H13)="","",INDEX('Time Entries'!M:M,$H13)))</f>
        <v/>
      </c>
      <c r="C13" s="16">
        <f>IF($H13="","",IF(INDEX('Time Entries'!G:G,$H13)="","",INDEX('Time Entries'!N:N,$H13)))</f>
        <v/>
      </c>
      <c r="D13" s="16">
        <f>IF($H13="","",IF(INDEX('Time Entries'!G:G,$H13)="","",INDEX('Time Entries'!F:F,$H13)))</f>
        <v/>
      </c>
      <c r="E13" s="16">
        <f>IF($H13="","",IF(INDEX('Time Entries'!G:G,$H13)="","",INDEX('Time Entries'!G:G,$H13)))</f>
        <v/>
      </c>
      <c r="F13" s="17">
        <f>IF($H13="","",IF(INDEX('Time Entries'!G:G,$H13)="","",INDEX('Time Entries'!J:J,$H13)))</f>
        <v/>
      </c>
      <c r="G13" s="18">
        <f>IF($H13="","",IF(INDEX('Time Entries'!G:G,$H13)="","",INDEX('Time Entries'!K:K,$H13)))</f>
        <v/>
      </c>
      <c r="H13">
        <f>IF(AND($I$4&gt;=ROW()-3,$H$4&lt;&gt;""),$H$4+ROW()-4,"")</f>
        <v/>
      </c>
    </row>
    <row r="14">
      <c r="A14" s="16">
        <f>IF($H14="","",IF(INDEX('Time Entries'!G:G,$H14)="","",INDEX('Time Entries'!G:G,$H14)&amp;" - "&amp;INDEX('Time Entries'!H:H,$H14)))</f>
        <v/>
      </c>
      <c r="B14" s="16">
        <f>IF($H14="","",IF(INDEX('Time Entries'!G:G,$H14)="","",INDEX('Time Entries'!M:M,$H14)))</f>
        <v/>
      </c>
      <c r="C14" s="16">
        <f>IF($H14="","",IF(INDEX('Time Entries'!G:G,$H14)="","",INDEX('Time Entries'!N:N,$H14)))</f>
        <v/>
      </c>
      <c r="D14" s="16">
        <f>IF($H14="","",IF(INDEX('Time Entries'!G:G,$H14)="","",INDEX('Time Entries'!F:F,$H14)))</f>
        <v/>
      </c>
      <c r="E14" s="16">
        <f>IF($H14="","",IF(INDEX('Time Entries'!G:G,$H14)="","",INDEX('Time Entries'!G:G,$H14)))</f>
        <v/>
      </c>
      <c r="F14" s="17">
        <f>IF($H14="","",IF(INDEX('Time Entries'!G:G,$H14)="","",INDEX('Time Entries'!J:J,$H14)))</f>
        <v/>
      </c>
      <c r="G14" s="18">
        <f>IF($H14="","",IF(INDEX('Time Entries'!G:G,$H14)="","",INDEX('Time Entries'!K:K,$H14)))</f>
        <v/>
      </c>
      <c r="H14">
        <f>IF(AND($I$4&gt;=ROW()-3,$H$4&lt;&gt;""),$H$4+ROW()-4,"")</f>
        <v/>
      </c>
    </row>
    <row r="15">
      <c r="A15" s="16">
        <f>IF($H15="","",IF(INDEX('Time Entries'!G:G,$H15)="","",INDEX('Time Entries'!G:G,$H15)&amp;" - "&amp;INDEX('Time Entries'!H:H,$H15)))</f>
        <v/>
      </c>
      <c r="B15" s="16">
        <f>IF($H15="","",IF(INDEX('Time Entries'!G:G,$H15)="","",INDEX('Time Entries'!M:M,$H15)))</f>
        <v/>
      </c>
      <c r="C15" s="16">
        <f>IF($H15="","",IF(INDEX('Time Entries'!G:G,$H15)="","",INDEX('Time Entries'!N:N,$H15)))</f>
        <v/>
      </c>
      <c r="D15" s="16">
        <f>IF($H15="","",IF(INDEX('Time Entries'!G:G,$H15)="","",INDEX('Time Entries'!F:F,$H15)))</f>
        <v/>
      </c>
      <c r="E15" s="16">
        <f>IF($H15="","",IF(INDEX('Time Entries'!G:G,$H15)="","",INDEX('Time Entries'!G:G,$H15)))</f>
        <v/>
      </c>
      <c r="F15" s="17">
        <f>IF($H15="","",IF(INDEX('Time Entries'!G:G,$H15)="","",INDEX('Time Entries'!J:J,$H15)))</f>
        <v/>
      </c>
      <c r="G15" s="18">
        <f>IF($H15="","",IF(INDEX('Time Entries'!G:G,$H15)="","",INDEX('Time Entries'!K:K,$H15)))</f>
        <v/>
      </c>
      <c r="H15">
        <f>IF(AND($I$4&gt;=ROW()-3,$H$4&lt;&gt;""),$H$4+ROW()-4,"")</f>
        <v/>
      </c>
    </row>
    <row r="16">
      <c r="A16" s="16">
        <f>IF($H16="","",IF(INDEX('Time Entries'!G:G,$H16)="","",INDEX('Time Entries'!G:G,$H16)&amp;" - "&amp;INDEX('Time Entries'!H:H,$H16)))</f>
        <v/>
      </c>
      <c r="B16" s="16">
        <f>IF($H16="","",IF(INDEX('Time Entries'!G:G,$H16)="","",INDEX('Time Entries'!M:M,$H16)))</f>
        <v/>
      </c>
      <c r="C16" s="16">
        <f>IF($H16="","",IF(INDEX('Time Entries'!G:G,$H16)="","",INDEX('Time Entries'!N:N,$H16)))</f>
        <v/>
      </c>
      <c r="D16" s="16">
        <f>IF($H16="","",IF(INDEX('Time Entries'!G:G,$H16)="","",INDEX('Time Entries'!F:F,$H16)))</f>
        <v/>
      </c>
      <c r="E16" s="16">
        <f>IF($H16="","",IF(INDEX('Time Entries'!G:G,$H16)="","",INDEX('Time Entries'!G:G,$H16)))</f>
        <v/>
      </c>
      <c r="F16" s="17">
        <f>IF($H16="","",IF(INDEX('Time Entries'!G:G,$H16)="","",INDEX('Time Entries'!J:J,$H16)))</f>
        <v/>
      </c>
      <c r="G16" s="18">
        <f>IF($H16="","",IF(INDEX('Time Entries'!G:G,$H16)="","",INDEX('Time Entries'!K:K,$H16)))</f>
        <v/>
      </c>
      <c r="H16">
        <f>IF(AND($I$4&gt;=ROW()-3,$H$4&lt;&gt;""),$H$4+ROW()-4,"")</f>
        <v/>
      </c>
    </row>
    <row r="17">
      <c r="A17" s="16">
        <f>IF($H17="","",IF(INDEX('Time Entries'!G:G,$H17)="","",INDEX('Time Entries'!G:G,$H17)&amp;" - "&amp;INDEX('Time Entries'!H:H,$H17)))</f>
        <v/>
      </c>
      <c r="B17" s="16">
        <f>IF($H17="","",IF(INDEX('Time Entries'!G:G,$H17)="","",INDEX('Time Entries'!M:M,$H17)))</f>
        <v/>
      </c>
      <c r="C17" s="16">
        <f>IF($H17="","",IF(INDEX('Time Entries'!G:G,$H17)="","",INDEX('Time Entries'!N:N,$H17)))</f>
        <v/>
      </c>
      <c r="D17" s="16">
        <f>IF($H17="","",IF(INDEX('Time Entries'!G:G,$H17)="","",INDEX('Time Entries'!F:F,$H17)))</f>
        <v/>
      </c>
      <c r="E17" s="16">
        <f>IF($H17="","",IF(INDEX('Time Entries'!G:G,$H17)="","",INDEX('Time Entries'!G:G,$H17)))</f>
        <v/>
      </c>
      <c r="F17" s="17">
        <f>IF($H17="","",IF(INDEX('Time Entries'!G:G,$H17)="","",INDEX('Time Entries'!J:J,$H17)))</f>
        <v/>
      </c>
      <c r="G17" s="18">
        <f>IF($H17="","",IF(INDEX('Time Entries'!G:G,$H17)="","",INDEX('Time Entries'!K:K,$H17)))</f>
        <v/>
      </c>
      <c r="H17">
        <f>IF(AND($I$4&gt;=ROW()-3,$H$4&lt;&gt;""),$H$4+ROW()-4,"")</f>
        <v/>
      </c>
    </row>
    <row r="18">
      <c r="A18" s="16">
        <f>IF($H18="","",IF(INDEX('Time Entries'!G:G,$H18)="","",INDEX('Time Entries'!G:G,$H18)&amp;" - "&amp;INDEX('Time Entries'!H:H,$H18)))</f>
        <v/>
      </c>
      <c r="B18" s="16">
        <f>IF($H18="","",IF(INDEX('Time Entries'!G:G,$H18)="","",INDEX('Time Entries'!M:M,$H18)))</f>
        <v/>
      </c>
      <c r="C18" s="16">
        <f>IF($H18="","",IF(INDEX('Time Entries'!G:G,$H18)="","",INDEX('Time Entries'!N:N,$H18)))</f>
        <v/>
      </c>
      <c r="D18" s="16">
        <f>IF($H18="","",IF(INDEX('Time Entries'!G:G,$H18)="","",INDEX('Time Entries'!F:F,$H18)))</f>
        <v/>
      </c>
      <c r="E18" s="16">
        <f>IF($H18="","",IF(INDEX('Time Entries'!G:G,$H18)="","",INDEX('Time Entries'!G:G,$H18)))</f>
        <v/>
      </c>
      <c r="F18" s="17">
        <f>IF($H18="","",IF(INDEX('Time Entries'!G:G,$H18)="","",INDEX('Time Entries'!J:J,$H18)))</f>
        <v/>
      </c>
      <c r="G18" s="18">
        <f>IF($H18="","",IF(INDEX('Time Entries'!G:G,$H18)="","",INDEX('Time Entries'!K:K,$H18)))</f>
        <v/>
      </c>
      <c r="H18">
        <f>IF(AND($I$4&gt;=ROW()-3,$H$4&lt;&gt;""),$H$4+ROW()-4,"")</f>
        <v/>
      </c>
    </row>
    <row r="19">
      <c r="A19" s="16">
        <f>IF($H19="","",IF(INDEX('Time Entries'!G:G,$H19)="","",INDEX('Time Entries'!G:G,$H19)&amp;" - "&amp;INDEX('Time Entries'!H:H,$H19)))</f>
        <v/>
      </c>
      <c r="B19" s="16">
        <f>IF($H19="","",IF(INDEX('Time Entries'!G:G,$H19)="","",INDEX('Time Entries'!M:M,$H19)))</f>
        <v/>
      </c>
      <c r="C19" s="16">
        <f>IF($H19="","",IF(INDEX('Time Entries'!G:G,$H19)="","",INDEX('Time Entries'!N:N,$H19)))</f>
        <v/>
      </c>
      <c r="D19" s="16">
        <f>IF($H19="","",IF(INDEX('Time Entries'!G:G,$H19)="","",INDEX('Time Entries'!F:F,$H19)))</f>
        <v/>
      </c>
      <c r="E19" s="16">
        <f>IF($H19="","",IF(INDEX('Time Entries'!G:G,$H19)="","",INDEX('Time Entries'!G:G,$H19)))</f>
        <v/>
      </c>
      <c r="F19" s="17">
        <f>IF($H19="","",IF(INDEX('Time Entries'!G:G,$H19)="","",INDEX('Time Entries'!J:J,$H19)))</f>
        <v/>
      </c>
      <c r="G19" s="18">
        <f>IF($H19="","",IF(INDEX('Time Entries'!G:G,$H19)="","",INDEX('Time Entries'!K:K,$H19)))</f>
        <v/>
      </c>
      <c r="H19">
        <f>IF(AND($I$4&gt;=ROW()-3,$H$4&lt;&gt;""),$H$4+ROW()-4,"")</f>
        <v/>
      </c>
    </row>
    <row r="20">
      <c r="A20" s="16">
        <f>IF($H20="","",IF(INDEX('Time Entries'!G:G,$H20)="","",INDEX('Time Entries'!G:G,$H20)&amp;" - "&amp;INDEX('Time Entries'!H:H,$H20)))</f>
        <v/>
      </c>
      <c r="B20" s="16">
        <f>IF($H20="","",IF(INDEX('Time Entries'!G:G,$H20)="","",INDEX('Time Entries'!M:M,$H20)))</f>
        <v/>
      </c>
      <c r="C20" s="16">
        <f>IF($H20="","",IF(INDEX('Time Entries'!G:G,$H20)="","",INDEX('Time Entries'!N:N,$H20)))</f>
        <v/>
      </c>
      <c r="D20" s="16">
        <f>IF($H20="","",IF(INDEX('Time Entries'!G:G,$H20)="","",INDEX('Time Entries'!F:F,$H20)))</f>
        <v/>
      </c>
      <c r="E20" s="16">
        <f>IF($H20="","",IF(INDEX('Time Entries'!G:G,$H20)="","",INDEX('Time Entries'!G:G,$H20)))</f>
        <v/>
      </c>
      <c r="F20" s="17">
        <f>IF($H20="","",IF(INDEX('Time Entries'!G:G,$H20)="","",INDEX('Time Entries'!J:J,$H20)))</f>
        <v/>
      </c>
      <c r="G20" s="18">
        <f>IF($H20="","",IF(INDEX('Time Entries'!G:G,$H20)="","",INDEX('Time Entries'!K:K,$H20)))</f>
        <v/>
      </c>
      <c r="H20">
        <f>IF(AND($I$4&gt;=ROW()-3,$H$4&lt;&gt;""),$H$4+ROW()-4,"")</f>
        <v/>
      </c>
    </row>
    <row r="21">
      <c r="A21" s="16">
        <f>IF($H21="","",IF(INDEX('Time Entries'!G:G,$H21)="","",INDEX('Time Entries'!G:G,$H21)&amp;" - "&amp;INDEX('Time Entries'!H:H,$H21)))</f>
        <v/>
      </c>
      <c r="B21" s="16">
        <f>IF($H21="","",IF(INDEX('Time Entries'!G:G,$H21)="","",INDEX('Time Entries'!M:M,$H21)))</f>
        <v/>
      </c>
      <c r="C21" s="16">
        <f>IF($H21="","",IF(INDEX('Time Entries'!G:G,$H21)="","",INDEX('Time Entries'!N:N,$H21)))</f>
        <v/>
      </c>
      <c r="D21" s="16">
        <f>IF($H21="","",IF(INDEX('Time Entries'!G:G,$H21)="","",INDEX('Time Entries'!F:F,$H21)))</f>
        <v/>
      </c>
      <c r="E21" s="16">
        <f>IF($H21="","",IF(INDEX('Time Entries'!G:G,$H21)="","",INDEX('Time Entries'!G:G,$H21)))</f>
        <v/>
      </c>
      <c r="F21" s="17">
        <f>IF($H21="","",IF(INDEX('Time Entries'!G:G,$H21)="","",INDEX('Time Entries'!J:J,$H21)))</f>
        <v/>
      </c>
      <c r="G21" s="18">
        <f>IF($H21="","",IF(INDEX('Time Entries'!G:G,$H21)="","",INDEX('Time Entries'!K:K,$H21)))</f>
        <v/>
      </c>
      <c r="H21">
        <f>IF(AND($I$4&gt;=ROW()-3,$H$4&lt;&gt;""),$H$4+ROW()-4,"")</f>
        <v/>
      </c>
    </row>
    <row r="22">
      <c r="A22" s="16">
        <f>IF($H22="","",IF(INDEX('Time Entries'!G:G,$H22)="","",INDEX('Time Entries'!G:G,$H22)&amp;" - "&amp;INDEX('Time Entries'!H:H,$H22)))</f>
        <v/>
      </c>
      <c r="B22" s="16">
        <f>IF($H22="","",IF(INDEX('Time Entries'!G:G,$H22)="","",INDEX('Time Entries'!M:M,$H22)))</f>
        <v/>
      </c>
      <c r="C22" s="16">
        <f>IF($H22="","",IF(INDEX('Time Entries'!G:G,$H22)="","",INDEX('Time Entries'!N:N,$H22)))</f>
        <v/>
      </c>
      <c r="D22" s="16">
        <f>IF($H22="","",IF(INDEX('Time Entries'!G:G,$H22)="","",INDEX('Time Entries'!F:F,$H22)))</f>
        <v/>
      </c>
      <c r="E22" s="16">
        <f>IF($H22="","",IF(INDEX('Time Entries'!G:G,$H22)="","",INDEX('Time Entries'!G:G,$H22)))</f>
        <v/>
      </c>
      <c r="F22" s="17">
        <f>IF($H22="","",IF(INDEX('Time Entries'!G:G,$H22)="","",INDEX('Time Entries'!J:J,$H22)))</f>
        <v/>
      </c>
      <c r="G22" s="18">
        <f>IF($H22="","",IF(INDEX('Time Entries'!G:G,$H22)="","",INDEX('Time Entries'!K:K,$H22)))</f>
        <v/>
      </c>
      <c r="H22">
        <f>IF(AND($I$4&gt;=ROW()-3,$H$4&lt;&gt;""),$H$4+ROW()-4,"")</f>
        <v/>
      </c>
    </row>
    <row r="23">
      <c r="A23" s="16">
        <f>IF($H23="","",IF(INDEX('Time Entries'!G:G,$H23)="","",INDEX('Time Entries'!G:G,$H23)&amp;" - "&amp;INDEX('Time Entries'!H:H,$H23)))</f>
        <v/>
      </c>
      <c r="B23" s="16">
        <f>IF($H23="","",IF(INDEX('Time Entries'!G:G,$H23)="","",INDEX('Time Entries'!M:M,$H23)))</f>
        <v/>
      </c>
      <c r="C23" s="16">
        <f>IF($H23="","",IF(INDEX('Time Entries'!G:G,$H23)="","",INDEX('Time Entries'!N:N,$H23)))</f>
        <v/>
      </c>
      <c r="D23" s="16">
        <f>IF($H23="","",IF(INDEX('Time Entries'!G:G,$H23)="","",INDEX('Time Entries'!F:F,$H23)))</f>
        <v/>
      </c>
      <c r="E23" s="16">
        <f>IF($H23="","",IF(INDEX('Time Entries'!G:G,$H23)="","",INDEX('Time Entries'!G:G,$H23)))</f>
        <v/>
      </c>
      <c r="F23" s="17">
        <f>IF($H23="","",IF(INDEX('Time Entries'!G:G,$H23)="","",INDEX('Time Entries'!J:J,$H23)))</f>
        <v/>
      </c>
      <c r="G23" s="18">
        <f>IF($H23="","",IF(INDEX('Time Entries'!G:G,$H23)="","",INDEX('Time Entries'!K:K,$H23)))</f>
        <v/>
      </c>
      <c r="H23">
        <f>IF(AND($I$4&gt;=ROW()-3,$H$4&lt;&gt;""),$H$4+ROW()-4,"")</f>
        <v/>
      </c>
    </row>
    <row r="24">
      <c r="A24" s="16">
        <f>IF($H24="","",IF(INDEX('Time Entries'!G:G,$H24)="","",INDEX('Time Entries'!G:G,$H24)&amp;" - "&amp;INDEX('Time Entries'!H:H,$H24)))</f>
        <v/>
      </c>
      <c r="B24" s="16">
        <f>IF($H24="","",IF(INDEX('Time Entries'!G:G,$H24)="","",INDEX('Time Entries'!M:M,$H24)))</f>
        <v/>
      </c>
      <c r="C24" s="16">
        <f>IF($H24="","",IF(INDEX('Time Entries'!G:G,$H24)="","",INDEX('Time Entries'!N:N,$H24)))</f>
        <v/>
      </c>
      <c r="D24" s="16">
        <f>IF($H24="","",IF(INDEX('Time Entries'!G:G,$H24)="","",INDEX('Time Entries'!F:F,$H24)))</f>
        <v/>
      </c>
      <c r="E24" s="16">
        <f>IF($H24="","",IF(INDEX('Time Entries'!G:G,$H24)="","",INDEX('Time Entries'!G:G,$H24)))</f>
        <v/>
      </c>
      <c r="F24" s="17">
        <f>IF($H24="","",IF(INDEX('Time Entries'!G:G,$H24)="","",INDEX('Time Entries'!J:J,$H24)))</f>
        <v/>
      </c>
      <c r="G24" s="18">
        <f>IF($H24="","",IF(INDEX('Time Entries'!G:G,$H24)="","",INDEX('Time Entries'!K:K,$H24)))</f>
        <v/>
      </c>
      <c r="H24">
        <f>IF(AND($I$4&gt;=ROW()-3,$H$4&lt;&gt;""),$H$4+ROW()-4,"")</f>
        <v/>
      </c>
    </row>
    <row r="25">
      <c r="A25" s="16">
        <f>IF($H25="","",IF(INDEX('Time Entries'!G:G,$H25)="","",INDEX('Time Entries'!G:G,$H25)&amp;" - "&amp;INDEX('Time Entries'!H:H,$H25)))</f>
        <v/>
      </c>
      <c r="B25" s="16">
        <f>IF($H25="","",IF(INDEX('Time Entries'!G:G,$H25)="","",INDEX('Time Entries'!M:M,$H25)))</f>
        <v/>
      </c>
      <c r="C25" s="16">
        <f>IF($H25="","",IF(INDEX('Time Entries'!G:G,$H25)="","",INDEX('Time Entries'!N:N,$H25)))</f>
        <v/>
      </c>
      <c r="D25" s="16">
        <f>IF($H25="","",IF(INDEX('Time Entries'!G:G,$H25)="","",INDEX('Time Entries'!F:F,$H25)))</f>
        <v/>
      </c>
      <c r="E25" s="16">
        <f>IF($H25="","",IF(INDEX('Time Entries'!G:G,$H25)="","",INDEX('Time Entries'!G:G,$H25)))</f>
        <v/>
      </c>
      <c r="F25" s="17">
        <f>IF($H25="","",IF(INDEX('Time Entries'!G:G,$H25)="","",INDEX('Time Entries'!J:J,$H25)))</f>
        <v/>
      </c>
      <c r="G25" s="18">
        <f>IF($H25="","",IF(INDEX('Time Entries'!G:G,$H25)="","",INDEX('Time Entries'!K:K,$H25)))</f>
        <v/>
      </c>
      <c r="H25">
        <f>IF(AND($I$4&gt;=ROW()-3,$H$4&lt;&gt;""),$H$4+ROW()-4,"")</f>
        <v/>
      </c>
    </row>
    <row r="26">
      <c r="A26" s="16">
        <f>IF($H26="","",IF(INDEX('Time Entries'!G:G,$H26)="","",INDEX('Time Entries'!G:G,$H26)&amp;" - "&amp;INDEX('Time Entries'!H:H,$H26)))</f>
        <v/>
      </c>
      <c r="B26" s="16">
        <f>IF($H26="","",IF(INDEX('Time Entries'!G:G,$H26)="","",INDEX('Time Entries'!M:M,$H26)))</f>
        <v/>
      </c>
      <c r="C26" s="16">
        <f>IF($H26="","",IF(INDEX('Time Entries'!G:G,$H26)="","",INDEX('Time Entries'!N:N,$H26)))</f>
        <v/>
      </c>
      <c r="D26" s="16">
        <f>IF($H26="","",IF(INDEX('Time Entries'!G:G,$H26)="","",INDEX('Time Entries'!F:F,$H26)))</f>
        <v/>
      </c>
      <c r="E26" s="16">
        <f>IF($H26="","",IF(INDEX('Time Entries'!G:G,$H26)="","",INDEX('Time Entries'!G:G,$H26)))</f>
        <v/>
      </c>
      <c r="F26" s="17">
        <f>IF($H26="","",IF(INDEX('Time Entries'!G:G,$H26)="","",INDEX('Time Entries'!J:J,$H26)))</f>
        <v/>
      </c>
      <c r="G26" s="18">
        <f>IF($H26="","",IF(INDEX('Time Entries'!G:G,$H26)="","",INDEX('Time Entries'!K:K,$H26)))</f>
        <v/>
      </c>
      <c r="H26">
        <f>IF(AND($I$4&gt;=ROW()-3,$H$4&lt;&gt;""),$H$4+ROW()-4,"")</f>
        <v/>
      </c>
    </row>
    <row r="27">
      <c r="A27" s="16">
        <f>IF($H27="","",IF(INDEX('Time Entries'!G:G,$H27)="","",INDEX('Time Entries'!G:G,$H27)&amp;" - "&amp;INDEX('Time Entries'!H:H,$H27)))</f>
        <v/>
      </c>
      <c r="B27" s="16">
        <f>IF($H27="","",IF(INDEX('Time Entries'!G:G,$H27)="","",INDEX('Time Entries'!M:M,$H27)))</f>
        <v/>
      </c>
      <c r="C27" s="16">
        <f>IF($H27="","",IF(INDEX('Time Entries'!G:G,$H27)="","",INDEX('Time Entries'!N:N,$H27)))</f>
        <v/>
      </c>
      <c r="D27" s="16">
        <f>IF($H27="","",IF(INDEX('Time Entries'!G:G,$H27)="","",INDEX('Time Entries'!F:F,$H27)))</f>
        <v/>
      </c>
      <c r="E27" s="16">
        <f>IF($H27="","",IF(INDEX('Time Entries'!G:G,$H27)="","",INDEX('Time Entries'!G:G,$H27)))</f>
        <v/>
      </c>
      <c r="F27" s="17">
        <f>IF($H27="","",IF(INDEX('Time Entries'!G:G,$H27)="","",INDEX('Time Entries'!J:J,$H27)))</f>
        <v/>
      </c>
      <c r="G27" s="18">
        <f>IF($H27="","",IF(INDEX('Time Entries'!G:G,$H27)="","",INDEX('Time Entries'!K:K,$H27)))</f>
        <v/>
      </c>
      <c r="H27">
        <f>IF(AND($I$4&gt;=ROW()-3,$H$4&lt;&gt;""),$H$4+ROW()-4,"")</f>
        <v/>
      </c>
    </row>
    <row r="28">
      <c r="A28" s="16">
        <f>IF($H28="","",IF(INDEX('Time Entries'!G:G,$H28)="","",INDEX('Time Entries'!G:G,$H28)&amp;" - "&amp;INDEX('Time Entries'!H:H,$H28)))</f>
        <v/>
      </c>
      <c r="B28" s="16">
        <f>IF($H28="","",IF(INDEX('Time Entries'!G:G,$H28)="","",INDEX('Time Entries'!M:M,$H28)))</f>
        <v/>
      </c>
      <c r="C28" s="16">
        <f>IF($H28="","",IF(INDEX('Time Entries'!G:G,$H28)="","",INDEX('Time Entries'!N:N,$H28)))</f>
        <v/>
      </c>
      <c r="D28" s="16">
        <f>IF($H28="","",IF(INDEX('Time Entries'!G:G,$H28)="","",INDEX('Time Entries'!F:F,$H28)))</f>
        <v/>
      </c>
      <c r="E28" s="16">
        <f>IF($H28="","",IF(INDEX('Time Entries'!G:G,$H28)="","",INDEX('Time Entries'!G:G,$H28)))</f>
        <v/>
      </c>
      <c r="F28" s="17">
        <f>IF($H28="","",IF(INDEX('Time Entries'!G:G,$H28)="","",INDEX('Time Entries'!J:J,$H28)))</f>
        <v/>
      </c>
      <c r="G28" s="18">
        <f>IF($H28="","",IF(INDEX('Time Entries'!G:G,$H28)="","",INDEX('Time Entries'!K:K,$H28)))</f>
        <v/>
      </c>
      <c r="H28">
        <f>IF(AND($I$4&gt;=ROW()-3,$H$4&lt;&gt;""),$H$4+ROW()-4,"")</f>
        <v/>
      </c>
    </row>
    <row r="29">
      <c r="A29" s="16">
        <f>IF($H29="","",IF(INDEX('Time Entries'!G:G,$H29)="","",INDEX('Time Entries'!G:G,$H29)&amp;" - "&amp;INDEX('Time Entries'!H:H,$H29)))</f>
        <v/>
      </c>
      <c r="B29" s="16">
        <f>IF($H29="","",IF(INDEX('Time Entries'!G:G,$H29)="","",INDEX('Time Entries'!M:M,$H29)))</f>
        <v/>
      </c>
      <c r="C29" s="16">
        <f>IF($H29="","",IF(INDEX('Time Entries'!G:G,$H29)="","",INDEX('Time Entries'!N:N,$H29)))</f>
        <v/>
      </c>
      <c r="D29" s="16">
        <f>IF($H29="","",IF(INDEX('Time Entries'!G:G,$H29)="","",INDEX('Time Entries'!F:F,$H29)))</f>
        <v/>
      </c>
      <c r="E29" s="16">
        <f>IF($H29="","",IF(INDEX('Time Entries'!G:G,$H29)="","",INDEX('Time Entries'!G:G,$H29)))</f>
        <v/>
      </c>
      <c r="F29" s="17">
        <f>IF($H29="","",IF(INDEX('Time Entries'!G:G,$H29)="","",INDEX('Time Entries'!J:J,$H29)))</f>
        <v/>
      </c>
      <c r="G29" s="18">
        <f>IF($H29="","",IF(INDEX('Time Entries'!G:G,$H29)="","",INDEX('Time Entries'!K:K,$H29)))</f>
        <v/>
      </c>
      <c r="H29">
        <f>IF(AND($I$4&gt;=ROW()-3,$H$4&lt;&gt;""),$H$4+ROW()-4,"")</f>
        <v/>
      </c>
    </row>
    <row r="30">
      <c r="A30" s="16">
        <f>IF($H30="","",IF(INDEX('Time Entries'!G:G,$H30)="","",INDEX('Time Entries'!G:G,$H30)&amp;" - "&amp;INDEX('Time Entries'!H:H,$H30)))</f>
        <v/>
      </c>
      <c r="B30" s="16">
        <f>IF($H30="","",IF(INDEX('Time Entries'!G:G,$H30)="","",INDEX('Time Entries'!M:M,$H30)))</f>
        <v/>
      </c>
      <c r="C30" s="16">
        <f>IF($H30="","",IF(INDEX('Time Entries'!G:G,$H30)="","",INDEX('Time Entries'!N:N,$H30)))</f>
        <v/>
      </c>
      <c r="D30" s="16">
        <f>IF($H30="","",IF(INDEX('Time Entries'!G:G,$H30)="","",INDEX('Time Entries'!F:F,$H30)))</f>
        <v/>
      </c>
      <c r="E30" s="16">
        <f>IF($H30="","",IF(INDEX('Time Entries'!G:G,$H30)="","",INDEX('Time Entries'!G:G,$H30)))</f>
        <v/>
      </c>
      <c r="F30" s="17">
        <f>IF($H30="","",IF(INDEX('Time Entries'!G:G,$H30)="","",INDEX('Time Entries'!J:J,$H30)))</f>
        <v/>
      </c>
      <c r="G30" s="18">
        <f>IF($H30="","",IF(INDEX('Time Entries'!G:G,$H30)="","",INDEX('Time Entries'!K:K,$H30)))</f>
        <v/>
      </c>
      <c r="H30">
        <f>IF(AND($I$4&gt;=ROW()-3,$H$4&lt;&gt;""),$H$4+ROW()-4,"")</f>
        <v/>
      </c>
    </row>
    <row r="31">
      <c r="A31" s="16">
        <f>IF($H31="","",IF(INDEX('Time Entries'!G:G,$H31)="","",INDEX('Time Entries'!G:G,$H31)&amp;" - "&amp;INDEX('Time Entries'!H:H,$H31)))</f>
        <v/>
      </c>
      <c r="B31" s="16">
        <f>IF($H31="","",IF(INDEX('Time Entries'!G:G,$H31)="","",INDEX('Time Entries'!M:M,$H31)))</f>
        <v/>
      </c>
      <c r="C31" s="16">
        <f>IF($H31="","",IF(INDEX('Time Entries'!G:G,$H31)="","",INDEX('Time Entries'!N:N,$H31)))</f>
        <v/>
      </c>
      <c r="D31" s="16">
        <f>IF($H31="","",IF(INDEX('Time Entries'!G:G,$H31)="","",INDEX('Time Entries'!F:F,$H31)))</f>
        <v/>
      </c>
      <c r="E31" s="16">
        <f>IF($H31="","",IF(INDEX('Time Entries'!G:G,$H31)="","",INDEX('Time Entries'!G:G,$H31)))</f>
        <v/>
      </c>
      <c r="F31" s="17">
        <f>IF($H31="","",IF(INDEX('Time Entries'!G:G,$H31)="","",INDEX('Time Entries'!J:J,$H31)))</f>
        <v/>
      </c>
      <c r="G31" s="18">
        <f>IF($H31="","",IF(INDEX('Time Entries'!G:G,$H31)="","",INDEX('Time Entries'!K:K,$H31)))</f>
        <v/>
      </c>
      <c r="H31">
        <f>IF(AND($I$4&gt;=ROW()-3,$H$4&lt;&gt;""),$H$4+ROW()-4,"")</f>
        <v/>
      </c>
    </row>
    <row r="32">
      <c r="A32" s="16">
        <f>IF($H32="","",IF(INDEX('Time Entries'!G:G,$H32)="","",INDEX('Time Entries'!G:G,$H32)&amp;" - "&amp;INDEX('Time Entries'!H:H,$H32)))</f>
        <v/>
      </c>
      <c r="B32" s="16">
        <f>IF($H32="","",IF(INDEX('Time Entries'!G:G,$H32)="","",INDEX('Time Entries'!M:M,$H32)))</f>
        <v/>
      </c>
      <c r="C32" s="16">
        <f>IF($H32="","",IF(INDEX('Time Entries'!G:G,$H32)="","",INDEX('Time Entries'!N:N,$H32)))</f>
        <v/>
      </c>
      <c r="D32" s="16">
        <f>IF($H32="","",IF(INDEX('Time Entries'!G:G,$H32)="","",INDEX('Time Entries'!F:F,$H32)))</f>
        <v/>
      </c>
      <c r="E32" s="16">
        <f>IF($H32="","",IF(INDEX('Time Entries'!G:G,$H32)="","",INDEX('Time Entries'!G:G,$H32)))</f>
        <v/>
      </c>
      <c r="F32" s="17">
        <f>IF($H32="","",IF(INDEX('Time Entries'!G:G,$H32)="","",INDEX('Time Entries'!J:J,$H32)))</f>
        <v/>
      </c>
      <c r="G32" s="18">
        <f>IF($H32="","",IF(INDEX('Time Entries'!G:G,$H32)="","",INDEX('Time Entries'!K:K,$H32)))</f>
        <v/>
      </c>
      <c r="H32">
        <f>IF(AND($I$4&gt;=ROW()-3,$H$4&lt;&gt;""),$H$4+ROW()-4,"")</f>
        <v/>
      </c>
    </row>
    <row r="33">
      <c r="A33" s="16">
        <f>IF($H33="","",IF(INDEX('Time Entries'!G:G,$H33)="","",INDEX('Time Entries'!G:G,$H33)&amp;" - "&amp;INDEX('Time Entries'!H:H,$H33)))</f>
        <v/>
      </c>
      <c r="B33" s="16">
        <f>IF($H33="","",IF(INDEX('Time Entries'!G:G,$H33)="","",INDEX('Time Entries'!M:M,$H33)))</f>
        <v/>
      </c>
      <c r="C33" s="16">
        <f>IF($H33="","",IF(INDEX('Time Entries'!G:G,$H33)="","",INDEX('Time Entries'!N:N,$H33)))</f>
        <v/>
      </c>
      <c r="D33" s="16">
        <f>IF($H33="","",IF(INDEX('Time Entries'!G:G,$H33)="","",INDEX('Time Entries'!F:F,$H33)))</f>
        <v/>
      </c>
      <c r="E33" s="16">
        <f>IF($H33="","",IF(INDEX('Time Entries'!G:G,$H33)="","",INDEX('Time Entries'!G:G,$H33)))</f>
        <v/>
      </c>
      <c r="F33" s="17">
        <f>IF($H33="","",IF(INDEX('Time Entries'!G:G,$H33)="","",INDEX('Time Entries'!J:J,$H33)))</f>
        <v/>
      </c>
      <c r="G33" s="18">
        <f>IF($H33="","",IF(INDEX('Time Entries'!G:G,$H33)="","",INDEX('Time Entries'!K:K,$H33)))</f>
        <v/>
      </c>
      <c r="H33">
        <f>IF(AND($I$4&gt;=ROW()-3,$H$4&lt;&gt;""),$H$4+ROW()-4,"")</f>
        <v/>
      </c>
    </row>
    <row r="34">
      <c r="A34" s="16">
        <f>IF($H34="","",IF(INDEX('Time Entries'!G:G,$H34)="","",INDEX('Time Entries'!G:G,$H34)&amp;" - "&amp;INDEX('Time Entries'!H:H,$H34)))</f>
        <v/>
      </c>
      <c r="B34" s="16">
        <f>IF($H34="","",IF(INDEX('Time Entries'!G:G,$H34)="","",INDEX('Time Entries'!M:M,$H34)))</f>
        <v/>
      </c>
      <c r="C34" s="16">
        <f>IF($H34="","",IF(INDEX('Time Entries'!G:G,$H34)="","",INDEX('Time Entries'!N:N,$H34)))</f>
        <v/>
      </c>
      <c r="D34" s="16">
        <f>IF($H34="","",IF(INDEX('Time Entries'!G:G,$H34)="","",INDEX('Time Entries'!F:F,$H34)))</f>
        <v/>
      </c>
      <c r="E34" s="16">
        <f>IF($H34="","",IF(INDEX('Time Entries'!G:G,$H34)="","",INDEX('Time Entries'!G:G,$H34)))</f>
        <v/>
      </c>
      <c r="F34" s="17">
        <f>IF($H34="","",IF(INDEX('Time Entries'!G:G,$H34)="","",INDEX('Time Entries'!J:J,$H34)))</f>
        <v/>
      </c>
      <c r="G34" s="18">
        <f>IF($H34="","",IF(INDEX('Time Entries'!G:G,$H34)="","",INDEX('Time Entries'!K:K,$H34)))</f>
        <v/>
      </c>
      <c r="H34">
        <f>IF(AND($I$4&gt;=ROW()-3,$H$4&lt;&gt;""),$H$4+ROW()-4,"")</f>
        <v/>
      </c>
    </row>
    <row r="35">
      <c r="A35" s="16">
        <f>IF($H35="","",IF(INDEX('Time Entries'!G:G,$H35)="","",INDEX('Time Entries'!G:G,$H35)&amp;" - "&amp;INDEX('Time Entries'!H:H,$H35)))</f>
        <v/>
      </c>
      <c r="B35" s="16">
        <f>IF($H35="","",IF(INDEX('Time Entries'!G:G,$H35)="","",INDEX('Time Entries'!M:M,$H35)))</f>
        <v/>
      </c>
      <c r="C35" s="16">
        <f>IF($H35="","",IF(INDEX('Time Entries'!G:G,$H35)="","",INDEX('Time Entries'!N:N,$H35)))</f>
        <v/>
      </c>
      <c r="D35" s="16">
        <f>IF($H35="","",IF(INDEX('Time Entries'!G:G,$H35)="","",INDEX('Time Entries'!F:F,$H35)))</f>
        <v/>
      </c>
      <c r="E35" s="16">
        <f>IF($H35="","",IF(INDEX('Time Entries'!G:G,$H35)="","",INDEX('Time Entries'!G:G,$H35)))</f>
        <v/>
      </c>
      <c r="F35" s="17">
        <f>IF($H35="","",IF(INDEX('Time Entries'!G:G,$H35)="","",INDEX('Time Entries'!J:J,$H35)))</f>
        <v/>
      </c>
      <c r="G35" s="18">
        <f>IF($H35="","",IF(INDEX('Time Entries'!G:G,$H35)="","",INDEX('Time Entries'!K:K,$H35)))</f>
        <v/>
      </c>
      <c r="H35">
        <f>IF(AND($I$4&gt;=ROW()-3,$H$4&lt;&gt;""),$H$4+ROW()-4,"")</f>
        <v/>
      </c>
    </row>
    <row r="36">
      <c r="A36" s="16">
        <f>IF($H36="","",IF(INDEX('Time Entries'!G:G,$H36)="","",INDEX('Time Entries'!G:G,$H36)&amp;" - "&amp;INDEX('Time Entries'!H:H,$H36)))</f>
        <v/>
      </c>
      <c r="B36" s="16">
        <f>IF($H36="","",IF(INDEX('Time Entries'!G:G,$H36)="","",INDEX('Time Entries'!M:M,$H36)))</f>
        <v/>
      </c>
      <c r="C36" s="16">
        <f>IF($H36="","",IF(INDEX('Time Entries'!G:G,$H36)="","",INDEX('Time Entries'!N:N,$H36)))</f>
        <v/>
      </c>
      <c r="D36" s="16">
        <f>IF($H36="","",IF(INDEX('Time Entries'!G:G,$H36)="","",INDEX('Time Entries'!F:F,$H36)))</f>
        <v/>
      </c>
      <c r="E36" s="16">
        <f>IF($H36="","",IF(INDEX('Time Entries'!G:G,$H36)="","",INDEX('Time Entries'!G:G,$H36)))</f>
        <v/>
      </c>
      <c r="F36" s="17">
        <f>IF($H36="","",IF(INDEX('Time Entries'!G:G,$H36)="","",INDEX('Time Entries'!J:J,$H36)))</f>
        <v/>
      </c>
      <c r="G36" s="18">
        <f>IF($H36="","",IF(INDEX('Time Entries'!G:G,$H36)="","",INDEX('Time Entries'!K:K,$H36)))</f>
        <v/>
      </c>
      <c r="H36">
        <f>IF(AND($I$4&gt;=ROW()-3,$H$4&lt;&gt;""),$H$4+ROW()-4,"")</f>
        <v/>
      </c>
    </row>
    <row r="37">
      <c r="A37" s="16">
        <f>IF($H37="","",IF(INDEX('Time Entries'!G:G,$H37)="","",INDEX('Time Entries'!G:G,$H37)&amp;" - "&amp;INDEX('Time Entries'!H:H,$H37)))</f>
        <v/>
      </c>
      <c r="B37" s="16">
        <f>IF($H37="","",IF(INDEX('Time Entries'!G:G,$H37)="","",INDEX('Time Entries'!M:M,$H37)))</f>
        <v/>
      </c>
      <c r="C37" s="16">
        <f>IF($H37="","",IF(INDEX('Time Entries'!G:G,$H37)="","",INDEX('Time Entries'!N:N,$H37)))</f>
        <v/>
      </c>
      <c r="D37" s="16">
        <f>IF($H37="","",IF(INDEX('Time Entries'!G:G,$H37)="","",INDEX('Time Entries'!F:F,$H37)))</f>
        <v/>
      </c>
      <c r="E37" s="16">
        <f>IF($H37="","",IF(INDEX('Time Entries'!G:G,$H37)="","",INDEX('Time Entries'!G:G,$H37)))</f>
        <v/>
      </c>
      <c r="F37" s="17">
        <f>IF($H37="","",IF(INDEX('Time Entries'!G:G,$H37)="","",INDEX('Time Entries'!J:J,$H37)))</f>
        <v/>
      </c>
      <c r="G37" s="18">
        <f>IF($H37="","",IF(INDEX('Time Entries'!G:G,$H37)="","",INDEX('Time Entries'!K:K,$H37)))</f>
        <v/>
      </c>
      <c r="H37">
        <f>IF(AND($I$4&gt;=ROW()-3,$H$4&lt;&gt;""),$H$4+ROW()-4,"")</f>
        <v/>
      </c>
    </row>
    <row r="38">
      <c r="A38" s="16">
        <f>IF($H38="","",IF(INDEX('Time Entries'!G:G,$H38)="","",INDEX('Time Entries'!G:G,$H38)&amp;" - "&amp;INDEX('Time Entries'!H:H,$H38)))</f>
        <v/>
      </c>
      <c r="B38" s="16">
        <f>IF($H38="","",IF(INDEX('Time Entries'!G:G,$H38)="","",INDEX('Time Entries'!M:M,$H38)))</f>
        <v/>
      </c>
      <c r="C38" s="16">
        <f>IF($H38="","",IF(INDEX('Time Entries'!G:G,$H38)="","",INDEX('Time Entries'!N:N,$H38)))</f>
        <v/>
      </c>
      <c r="D38" s="16">
        <f>IF($H38="","",IF(INDEX('Time Entries'!G:G,$H38)="","",INDEX('Time Entries'!F:F,$H38)))</f>
        <v/>
      </c>
      <c r="E38" s="16">
        <f>IF($H38="","",IF(INDEX('Time Entries'!G:G,$H38)="","",INDEX('Time Entries'!G:G,$H38)))</f>
        <v/>
      </c>
      <c r="F38" s="17">
        <f>IF($H38="","",IF(INDEX('Time Entries'!G:G,$H38)="","",INDEX('Time Entries'!J:J,$H38)))</f>
        <v/>
      </c>
      <c r="G38" s="18">
        <f>IF($H38="","",IF(INDEX('Time Entries'!G:G,$H38)="","",INDEX('Time Entries'!K:K,$H38)))</f>
        <v/>
      </c>
      <c r="H38">
        <f>IF(AND($I$4&gt;=ROW()-3,$H$4&lt;&gt;""),$H$4+ROW()-4,"")</f>
        <v/>
      </c>
    </row>
    <row r="39">
      <c r="A39" s="16">
        <f>IF($H39="","",IF(INDEX('Time Entries'!G:G,$H39)="","",INDEX('Time Entries'!G:G,$H39)&amp;" - "&amp;INDEX('Time Entries'!H:H,$H39)))</f>
        <v/>
      </c>
      <c r="B39" s="16">
        <f>IF($H39="","",IF(INDEX('Time Entries'!G:G,$H39)="","",INDEX('Time Entries'!M:M,$H39)))</f>
        <v/>
      </c>
      <c r="C39" s="16">
        <f>IF($H39="","",IF(INDEX('Time Entries'!G:G,$H39)="","",INDEX('Time Entries'!N:N,$H39)))</f>
        <v/>
      </c>
      <c r="D39" s="16">
        <f>IF($H39="","",IF(INDEX('Time Entries'!G:G,$H39)="","",INDEX('Time Entries'!F:F,$H39)))</f>
        <v/>
      </c>
      <c r="E39" s="16">
        <f>IF($H39="","",IF(INDEX('Time Entries'!G:G,$H39)="","",INDEX('Time Entries'!G:G,$H39)))</f>
        <v/>
      </c>
      <c r="F39" s="17">
        <f>IF($H39="","",IF(INDEX('Time Entries'!G:G,$H39)="","",INDEX('Time Entries'!J:J,$H39)))</f>
        <v/>
      </c>
      <c r="G39" s="18">
        <f>IF($H39="","",IF(INDEX('Time Entries'!G:G,$H39)="","",INDEX('Time Entries'!K:K,$H39)))</f>
        <v/>
      </c>
      <c r="H39">
        <f>IF(AND($I$4&gt;=ROW()-3,$H$4&lt;&gt;""),$H$4+ROW()-4,"")</f>
        <v/>
      </c>
    </row>
    <row r="40">
      <c r="A40" s="16">
        <f>IF($H40="","",IF(INDEX('Time Entries'!G:G,$H40)="","",INDEX('Time Entries'!G:G,$H40)&amp;" - "&amp;INDEX('Time Entries'!H:H,$H40)))</f>
        <v/>
      </c>
      <c r="B40" s="16">
        <f>IF($H40="","",IF(INDEX('Time Entries'!G:G,$H40)="","",INDEX('Time Entries'!M:M,$H40)))</f>
        <v/>
      </c>
      <c r="C40" s="16">
        <f>IF($H40="","",IF(INDEX('Time Entries'!G:G,$H40)="","",INDEX('Time Entries'!N:N,$H40)))</f>
        <v/>
      </c>
      <c r="D40" s="16">
        <f>IF($H40="","",IF(INDEX('Time Entries'!G:G,$H40)="","",INDEX('Time Entries'!F:F,$H40)))</f>
        <v/>
      </c>
      <c r="E40" s="16">
        <f>IF($H40="","",IF(INDEX('Time Entries'!G:G,$H40)="","",INDEX('Time Entries'!G:G,$H40)))</f>
        <v/>
      </c>
      <c r="F40" s="17">
        <f>IF($H40="","",IF(INDEX('Time Entries'!G:G,$H40)="","",INDEX('Time Entries'!J:J,$H40)))</f>
        <v/>
      </c>
      <c r="G40" s="18">
        <f>IF($H40="","",IF(INDEX('Time Entries'!G:G,$H40)="","",INDEX('Time Entries'!K:K,$H40)))</f>
        <v/>
      </c>
      <c r="H40">
        <f>IF(AND($I$4&gt;=ROW()-3,$H$4&lt;&gt;""),$H$4+ROW()-4,"")</f>
        <v/>
      </c>
    </row>
    <row r="41">
      <c r="A41" s="16">
        <f>IF($H41="","",IF(INDEX('Time Entries'!G:G,$H41)="","",INDEX('Time Entries'!G:G,$H41)&amp;" - "&amp;INDEX('Time Entries'!H:H,$H41)))</f>
        <v/>
      </c>
      <c r="B41" s="16">
        <f>IF($H41="","",IF(INDEX('Time Entries'!G:G,$H41)="","",INDEX('Time Entries'!M:M,$H41)))</f>
        <v/>
      </c>
      <c r="C41" s="16">
        <f>IF($H41="","",IF(INDEX('Time Entries'!G:G,$H41)="","",INDEX('Time Entries'!N:N,$H41)))</f>
        <v/>
      </c>
      <c r="D41" s="16">
        <f>IF($H41="","",IF(INDEX('Time Entries'!G:G,$H41)="","",INDEX('Time Entries'!F:F,$H41)))</f>
        <v/>
      </c>
      <c r="E41" s="16">
        <f>IF($H41="","",IF(INDEX('Time Entries'!G:G,$H41)="","",INDEX('Time Entries'!G:G,$H41)))</f>
        <v/>
      </c>
      <c r="F41" s="17">
        <f>IF($H41="","",IF(INDEX('Time Entries'!G:G,$H41)="","",INDEX('Time Entries'!J:J,$H41)))</f>
        <v/>
      </c>
      <c r="G41" s="18">
        <f>IF($H41="","",IF(INDEX('Time Entries'!G:G,$H41)="","",INDEX('Time Entries'!K:K,$H41)))</f>
        <v/>
      </c>
      <c r="H41">
        <f>IF(AND($I$4&gt;=ROW()-3,$H$4&lt;&gt;""),$H$4+ROW()-4,"")</f>
        <v/>
      </c>
    </row>
    <row r="42">
      <c r="A42" s="16">
        <f>IF($H42="","",IF(INDEX('Time Entries'!G:G,$H42)="","",INDEX('Time Entries'!G:G,$H42)&amp;" - "&amp;INDEX('Time Entries'!H:H,$H42)))</f>
        <v/>
      </c>
      <c r="B42" s="16">
        <f>IF($H42="","",IF(INDEX('Time Entries'!G:G,$H42)="","",INDEX('Time Entries'!M:M,$H42)))</f>
        <v/>
      </c>
      <c r="C42" s="16">
        <f>IF($H42="","",IF(INDEX('Time Entries'!G:G,$H42)="","",INDEX('Time Entries'!N:N,$H42)))</f>
        <v/>
      </c>
      <c r="D42" s="16">
        <f>IF($H42="","",IF(INDEX('Time Entries'!G:G,$H42)="","",INDEX('Time Entries'!F:F,$H42)))</f>
        <v/>
      </c>
      <c r="E42" s="16">
        <f>IF($H42="","",IF(INDEX('Time Entries'!G:G,$H42)="","",INDEX('Time Entries'!G:G,$H42)))</f>
        <v/>
      </c>
      <c r="F42" s="17">
        <f>IF($H42="","",IF(INDEX('Time Entries'!G:G,$H42)="","",INDEX('Time Entries'!J:J,$H42)))</f>
        <v/>
      </c>
      <c r="G42" s="18">
        <f>IF($H42="","",IF(INDEX('Time Entries'!G:G,$H42)="","",INDEX('Time Entries'!K:K,$H42)))</f>
        <v/>
      </c>
      <c r="H42">
        <f>IF(AND($I$4&gt;=ROW()-3,$H$4&lt;&gt;""),$H$4+ROW()-4,"")</f>
        <v/>
      </c>
    </row>
    <row r="43">
      <c r="A43" s="16">
        <f>IF($H43="","",IF(INDEX('Time Entries'!G:G,$H43)="","",INDEX('Time Entries'!G:G,$H43)&amp;" - "&amp;INDEX('Time Entries'!H:H,$H43)))</f>
        <v/>
      </c>
      <c r="B43" s="16">
        <f>IF($H43="","",IF(INDEX('Time Entries'!G:G,$H43)="","",INDEX('Time Entries'!M:M,$H43)))</f>
        <v/>
      </c>
      <c r="C43" s="16">
        <f>IF($H43="","",IF(INDEX('Time Entries'!G:G,$H43)="","",INDEX('Time Entries'!N:N,$H43)))</f>
        <v/>
      </c>
      <c r="D43" s="16">
        <f>IF($H43="","",IF(INDEX('Time Entries'!G:G,$H43)="","",INDEX('Time Entries'!F:F,$H43)))</f>
        <v/>
      </c>
      <c r="E43" s="16">
        <f>IF($H43="","",IF(INDEX('Time Entries'!G:G,$H43)="","",INDEX('Time Entries'!G:G,$H43)))</f>
        <v/>
      </c>
      <c r="F43" s="17">
        <f>IF($H43="","",IF(INDEX('Time Entries'!G:G,$H43)="","",INDEX('Time Entries'!J:J,$H43)))</f>
        <v/>
      </c>
      <c r="G43" s="18">
        <f>IF($H43="","",IF(INDEX('Time Entries'!G:G,$H43)="","",INDEX('Time Entries'!K:K,$H43)))</f>
        <v/>
      </c>
      <c r="H43">
        <f>IF(AND($I$4&gt;=ROW()-3,$H$4&lt;&gt;""),$H$4+ROW()-4,"")</f>
        <v/>
      </c>
    </row>
    <row r="44">
      <c r="A44" s="16">
        <f>IF($H44="","",IF(INDEX('Time Entries'!G:G,$H44)="","",INDEX('Time Entries'!G:G,$H44)&amp;" - "&amp;INDEX('Time Entries'!H:H,$H44)))</f>
        <v/>
      </c>
      <c r="B44" s="16">
        <f>IF($H44="","",IF(INDEX('Time Entries'!G:G,$H44)="","",INDEX('Time Entries'!M:M,$H44)))</f>
        <v/>
      </c>
      <c r="C44" s="16">
        <f>IF($H44="","",IF(INDEX('Time Entries'!G:G,$H44)="","",INDEX('Time Entries'!N:N,$H44)))</f>
        <v/>
      </c>
      <c r="D44" s="16">
        <f>IF($H44="","",IF(INDEX('Time Entries'!G:G,$H44)="","",INDEX('Time Entries'!F:F,$H44)))</f>
        <v/>
      </c>
      <c r="E44" s="16">
        <f>IF($H44="","",IF(INDEX('Time Entries'!G:G,$H44)="","",INDEX('Time Entries'!G:G,$H44)))</f>
        <v/>
      </c>
      <c r="F44" s="17">
        <f>IF($H44="","",IF(INDEX('Time Entries'!G:G,$H44)="","",INDEX('Time Entries'!J:J,$H44)))</f>
        <v/>
      </c>
      <c r="G44" s="18">
        <f>IF($H44="","",IF(INDEX('Time Entries'!G:G,$H44)="","",INDEX('Time Entries'!K:K,$H44)))</f>
        <v/>
      </c>
      <c r="H44">
        <f>IF(AND($I$4&gt;=ROW()-3,$H$4&lt;&gt;""),$H$4+ROW()-4,"")</f>
        <v/>
      </c>
    </row>
    <row r="45">
      <c r="A45" s="16">
        <f>IF($H45="","",IF(INDEX('Time Entries'!G:G,$H45)="","",INDEX('Time Entries'!G:G,$H45)&amp;" - "&amp;INDEX('Time Entries'!H:H,$H45)))</f>
        <v/>
      </c>
      <c r="B45" s="16">
        <f>IF($H45="","",IF(INDEX('Time Entries'!G:G,$H45)="","",INDEX('Time Entries'!M:M,$H45)))</f>
        <v/>
      </c>
      <c r="C45" s="16">
        <f>IF($H45="","",IF(INDEX('Time Entries'!G:G,$H45)="","",INDEX('Time Entries'!N:N,$H45)))</f>
        <v/>
      </c>
      <c r="D45" s="16">
        <f>IF($H45="","",IF(INDEX('Time Entries'!G:G,$H45)="","",INDEX('Time Entries'!F:F,$H45)))</f>
        <v/>
      </c>
      <c r="E45" s="16">
        <f>IF($H45="","",IF(INDEX('Time Entries'!G:G,$H45)="","",INDEX('Time Entries'!G:G,$H45)))</f>
        <v/>
      </c>
      <c r="F45" s="17">
        <f>IF($H45="","",IF(INDEX('Time Entries'!G:G,$H45)="","",INDEX('Time Entries'!J:J,$H45)))</f>
        <v/>
      </c>
      <c r="G45" s="18">
        <f>IF($H45="","",IF(INDEX('Time Entries'!G:G,$H45)="","",INDEX('Time Entries'!K:K,$H45)))</f>
        <v/>
      </c>
      <c r="H45">
        <f>IF(AND($I$4&gt;=ROW()-3,$H$4&lt;&gt;""),$H$4+ROW()-4,"")</f>
        <v/>
      </c>
    </row>
    <row r="46">
      <c r="A46" s="16">
        <f>IF($H46="","",IF(INDEX('Time Entries'!G:G,$H46)="","",INDEX('Time Entries'!G:G,$H46)&amp;" - "&amp;INDEX('Time Entries'!H:H,$H46)))</f>
        <v/>
      </c>
      <c r="B46" s="16">
        <f>IF($H46="","",IF(INDEX('Time Entries'!G:G,$H46)="","",INDEX('Time Entries'!M:M,$H46)))</f>
        <v/>
      </c>
      <c r="C46" s="16">
        <f>IF($H46="","",IF(INDEX('Time Entries'!G:G,$H46)="","",INDEX('Time Entries'!N:N,$H46)))</f>
        <v/>
      </c>
      <c r="D46" s="16">
        <f>IF($H46="","",IF(INDEX('Time Entries'!G:G,$H46)="","",INDEX('Time Entries'!F:F,$H46)))</f>
        <v/>
      </c>
      <c r="E46" s="16">
        <f>IF($H46="","",IF(INDEX('Time Entries'!G:G,$H46)="","",INDEX('Time Entries'!G:G,$H46)))</f>
        <v/>
      </c>
      <c r="F46" s="17">
        <f>IF($H46="","",IF(INDEX('Time Entries'!G:G,$H46)="","",INDEX('Time Entries'!J:J,$H46)))</f>
        <v/>
      </c>
      <c r="G46" s="18">
        <f>IF($H46="","",IF(INDEX('Time Entries'!G:G,$H46)="","",INDEX('Time Entries'!K:K,$H46)))</f>
        <v/>
      </c>
      <c r="H46">
        <f>IF(AND($I$4&gt;=ROW()-3,$H$4&lt;&gt;""),$H$4+ROW()-4,"")</f>
        <v/>
      </c>
    </row>
    <row r="47">
      <c r="A47" s="16">
        <f>IF($H47="","",IF(INDEX('Time Entries'!G:G,$H47)="","",INDEX('Time Entries'!G:G,$H47)&amp;" - "&amp;INDEX('Time Entries'!H:H,$H47)))</f>
        <v/>
      </c>
      <c r="B47" s="16">
        <f>IF($H47="","",IF(INDEX('Time Entries'!G:G,$H47)="","",INDEX('Time Entries'!M:M,$H47)))</f>
        <v/>
      </c>
      <c r="C47" s="16">
        <f>IF($H47="","",IF(INDEX('Time Entries'!G:G,$H47)="","",INDEX('Time Entries'!N:N,$H47)))</f>
        <v/>
      </c>
      <c r="D47" s="16">
        <f>IF($H47="","",IF(INDEX('Time Entries'!G:G,$H47)="","",INDEX('Time Entries'!F:F,$H47)))</f>
        <v/>
      </c>
      <c r="E47" s="16">
        <f>IF($H47="","",IF(INDEX('Time Entries'!G:G,$H47)="","",INDEX('Time Entries'!G:G,$H47)))</f>
        <v/>
      </c>
      <c r="F47" s="17">
        <f>IF($H47="","",IF(INDEX('Time Entries'!G:G,$H47)="","",INDEX('Time Entries'!J:J,$H47)))</f>
        <v/>
      </c>
      <c r="G47" s="18">
        <f>IF($H47="","",IF(INDEX('Time Entries'!G:G,$H47)="","",INDEX('Time Entries'!K:K,$H47)))</f>
        <v/>
      </c>
      <c r="H47">
        <f>IF(AND($I$4&gt;=ROW()-3,$H$4&lt;&gt;""),$H$4+ROW()-4,"")</f>
        <v/>
      </c>
    </row>
    <row r="48">
      <c r="A48" s="16">
        <f>IF($H48="","",IF(INDEX('Time Entries'!G:G,$H48)="","",INDEX('Time Entries'!G:G,$H48)&amp;" - "&amp;INDEX('Time Entries'!H:H,$H48)))</f>
        <v/>
      </c>
      <c r="B48" s="16">
        <f>IF($H48="","",IF(INDEX('Time Entries'!G:G,$H48)="","",INDEX('Time Entries'!M:M,$H48)))</f>
        <v/>
      </c>
      <c r="C48" s="16">
        <f>IF($H48="","",IF(INDEX('Time Entries'!G:G,$H48)="","",INDEX('Time Entries'!N:N,$H48)))</f>
        <v/>
      </c>
      <c r="D48" s="16">
        <f>IF($H48="","",IF(INDEX('Time Entries'!G:G,$H48)="","",INDEX('Time Entries'!F:F,$H48)))</f>
        <v/>
      </c>
      <c r="E48" s="16">
        <f>IF($H48="","",IF(INDEX('Time Entries'!G:G,$H48)="","",INDEX('Time Entries'!G:G,$H48)))</f>
        <v/>
      </c>
      <c r="F48" s="17">
        <f>IF($H48="","",IF(INDEX('Time Entries'!G:G,$H48)="","",INDEX('Time Entries'!J:J,$H48)))</f>
        <v/>
      </c>
      <c r="G48" s="18">
        <f>IF($H48="","",IF(INDEX('Time Entries'!G:G,$H48)="","",INDEX('Time Entries'!K:K,$H48)))</f>
        <v/>
      </c>
      <c r="H48">
        <f>IF(AND($I$4&gt;=ROW()-3,$H$4&lt;&gt;""),$H$4+ROW()-4,"")</f>
        <v/>
      </c>
    </row>
    <row r="49">
      <c r="A49" s="16">
        <f>IF($H49="","",IF(INDEX('Time Entries'!G:G,$H49)="","",INDEX('Time Entries'!G:G,$H49)&amp;" - "&amp;INDEX('Time Entries'!H:H,$H49)))</f>
        <v/>
      </c>
      <c r="B49" s="16">
        <f>IF($H49="","",IF(INDEX('Time Entries'!G:G,$H49)="","",INDEX('Time Entries'!M:M,$H49)))</f>
        <v/>
      </c>
      <c r="C49" s="16">
        <f>IF($H49="","",IF(INDEX('Time Entries'!G:G,$H49)="","",INDEX('Time Entries'!N:N,$H49)))</f>
        <v/>
      </c>
      <c r="D49" s="16">
        <f>IF($H49="","",IF(INDEX('Time Entries'!G:G,$H49)="","",INDEX('Time Entries'!F:F,$H49)))</f>
        <v/>
      </c>
      <c r="E49" s="16">
        <f>IF($H49="","",IF(INDEX('Time Entries'!G:G,$H49)="","",INDEX('Time Entries'!G:G,$H49)))</f>
        <v/>
      </c>
      <c r="F49" s="17">
        <f>IF($H49="","",IF(INDEX('Time Entries'!G:G,$H49)="","",INDEX('Time Entries'!J:J,$H49)))</f>
        <v/>
      </c>
      <c r="G49" s="18">
        <f>IF($H49="","",IF(INDEX('Time Entries'!G:G,$H49)="","",INDEX('Time Entries'!K:K,$H49)))</f>
        <v/>
      </c>
      <c r="H49">
        <f>IF(AND($I$4&gt;=ROW()-3,$H$4&lt;&gt;""),$H$4+ROW()-4,"")</f>
        <v/>
      </c>
    </row>
    <row r="50">
      <c r="A50" s="16">
        <f>IF($H50="","",IF(INDEX('Time Entries'!G:G,$H50)="","",INDEX('Time Entries'!G:G,$H50)&amp;" - "&amp;INDEX('Time Entries'!H:H,$H50)))</f>
        <v/>
      </c>
      <c r="B50" s="16">
        <f>IF($H50="","",IF(INDEX('Time Entries'!G:G,$H50)="","",INDEX('Time Entries'!M:M,$H50)))</f>
        <v/>
      </c>
      <c r="C50" s="16">
        <f>IF($H50="","",IF(INDEX('Time Entries'!G:G,$H50)="","",INDEX('Time Entries'!N:N,$H50)))</f>
        <v/>
      </c>
      <c r="D50" s="16">
        <f>IF($H50="","",IF(INDEX('Time Entries'!G:G,$H50)="","",INDEX('Time Entries'!F:F,$H50)))</f>
        <v/>
      </c>
      <c r="E50" s="16">
        <f>IF($H50="","",IF(INDEX('Time Entries'!G:G,$H50)="","",INDEX('Time Entries'!G:G,$H50)))</f>
        <v/>
      </c>
      <c r="F50" s="17">
        <f>IF($H50="","",IF(INDEX('Time Entries'!G:G,$H50)="","",INDEX('Time Entries'!J:J,$H50)))</f>
        <v/>
      </c>
      <c r="G50" s="18">
        <f>IF($H50="","",IF(INDEX('Time Entries'!G:G,$H50)="","",INDEX('Time Entries'!K:K,$H50)))</f>
        <v/>
      </c>
      <c r="H50">
        <f>IF(AND($I$4&gt;=ROW()-3,$H$4&lt;&gt;""),$H$4+ROW()-4,"")</f>
        <v/>
      </c>
    </row>
    <row r="51">
      <c r="A51" s="16">
        <f>IF($H51="","",IF(INDEX('Time Entries'!G:G,$H51)="","",INDEX('Time Entries'!G:G,$H51)&amp;" - "&amp;INDEX('Time Entries'!H:H,$H51)))</f>
        <v/>
      </c>
      <c r="B51" s="16">
        <f>IF($H51="","",IF(INDEX('Time Entries'!G:G,$H51)="","",INDEX('Time Entries'!M:M,$H51)))</f>
        <v/>
      </c>
      <c r="C51" s="16">
        <f>IF($H51="","",IF(INDEX('Time Entries'!G:G,$H51)="","",INDEX('Time Entries'!N:N,$H51)))</f>
        <v/>
      </c>
      <c r="D51" s="16">
        <f>IF($H51="","",IF(INDEX('Time Entries'!G:G,$H51)="","",INDEX('Time Entries'!F:F,$H51)))</f>
        <v/>
      </c>
      <c r="E51" s="16">
        <f>IF($H51="","",IF(INDEX('Time Entries'!G:G,$H51)="","",INDEX('Time Entries'!G:G,$H51)))</f>
        <v/>
      </c>
      <c r="F51" s="17">
        <f>IF($H51="","",IF(INDEX('Time Entries'!G:G,$H51)="","",INDEX('Time Entries'!J:J,$H51)))</f>
        <v/>
      </c>
      <c r="G51" s="18">
        <f>IF($H51="","",IF(INDEX('Time Entries'!G:G,$H51)="","",INDEX('Time Entries'!K:K,$H51)))</f>
        <v/>
      </c>
      <c r="H51">
        <f>IF(AND($I$4&gt;=ROW()-3,$H$4&lt;&gt;""),$H$4+ROW()-4,"")</f>
        <v/>
      </c>
    </row>
    <row r="52">
      <c r="A52" s="16">
        <f>IF($H52="","",IF(INDEX('Time Entries'!G:G,$H52)="","",INDEX('Time Entries'!G:G,$H52)&amp;" - "&amp;INDEX('Time Entries'!H:H,$H52)))</f>
        <v/>
      </c>
      <c r="B52" s="16">
        <f>IF($H52="","",IF(INDEX('Time Entries'!G:G,$H52)="","",INDEX('Time Entries'!M:M,$H52)))</f>
        <v/>
      </c>
      <c r="C52" s="16">
        <f>IF($H52="","",IF(INDEX('Time Entries'!G:G,$H52)="","",INDEX('Time Entries'!N:N,$H52)))</f>
        <v/>
      </c>
      <c r="D52" s="16">
        <f>IF($H52="","",IF(INDEX('Time Entries'!G:G,$H52)="","",INDEX('Time Entries'!F:F,$H52)))</f>
        <v/>
      </c>
      <c r="E52" s="16">
        <f>IF($H52="","",IF(INDEX('Time Entries'!G:G,$H52)="","",INDEX('Time Entries'!G:G,$H52)))</f>
        <v/>
      </c>
      <c r="F52" s="17">
        <f>IF($H52="","",IF(INDEX('Time Entries'!G:G,$H52)="","",INDEX('Time Entries'!J:J,$H52)))</f>
        <v/>
      </c>
      <c r="G52" s="18">
        <f>IF($H52="","",IF(INDEX('Time Entries'!G:G,$H52)="","",INDEX('Time Entries'!K:K,$H52)))</f>
        <v/>
      </c>
      <c r="H52">
        <f>IF(AND($I$4&gt;=ROW()-3,$H$4&lt;&gt;""),$H$4+ROW()-4,"")</f>
        <v/>
      </c>
    </row>
    <row r="53">
      <c r="A53" s="16">
        <f>IF($H53="","",IF(INDEX('Time Entries'!G:G,$H53)="","",INDEX('Time Entries'!G:G,$H53)&amp;" - "&amp;INDEX('Time Entries'!H:H,$H53)))</f>
        <v/>
      </c>
      <c r="B53" s="16">
        <f>IF($H53="","",IF(INDEX('Time Entries'!G:G,$H53)="","",INDEX('Time Entries'!M:M,$H53)))</f>
        <v/>
      </c>
      <c r="C53" s="16">
        <f>IF($H53="","",IF(INDEX('Time Entries'!G:G,$H53)="","",INDEX('Time Entries'!N:N,$H53)))</f>
        <v/>
      </c>
      <c r="D53" s="16">
        <f>IF($H53="","",IF(INDEX('Time Entries'!G:G,$H53)="","",INDEX('Time Entries'!F:F,$H53)))</f>
        <v/>
      </c>
      <c r="E53" s="16">
        <f>IF($H53="","",IF(INDEX('Time Entries'!G:G,$H53)="","",INDEX('Time Entries'!G:G,$H53)))</f>
        <v/>
      </c>
      <c r="F53" s="17">
        <f>IF($H53="","",IF(INDEX('Time Entries'!G:G,$H53)="","",INDEX('Time Entries'!J:J,$H53)))</f>
        <v/>
      </c>
      <c r="G53" s="18">
        <f>IF($H53="","",IF(INDEX('Time Entries'!G:G,$H53)="","",INDEX('Time Entries'!K:K,$H53)))</f>
        <v/>
      </c>
      <c r="H53">
        <f>IF(AND($I$4&gt;=ROW()-3,$H$4&lt;&gt;""),$H$4+ROW()-4,"")</f>
        <v/>
      </c>
    </row>
    <row r="54">
      <c r="A54" s="16">
        <f>IF($H54="","",IF(INDEX('Time Entries'!G:G,$H54)="","",INDEX('Time Entries'!G:G,$H54)&amp;" - "&amp;INDEX('Time Entries'!H:H,$H54)))</f>
        <v/>
      </c>
      <c r="B54" s="16">
        <f>IF($H54="","",IF(INDEX('Time Entries'!G:G,$H54)="","",INDEX('Time Entries'!M:M,$H54)))</f>
        <v/>
      </c>
      <c r="C54" s="16">
        <f>IF($H54="","",IF(INDEX('Time Entries'!G:G,$H54)="","",INDEX('Time Entries'!N:N,$H54)))</f>
        <v/>
      </c>
      <c r="D54" s="16">
        <f>IF($H54="","",IF(INDEX('Time Entries'!G:G,$H54)="","",INDEX('Time Entries'!F:F,$H54)))</f>
        <v/>
      </c>
      <c r="E54" s="16">
        <f>IF($H54="","",IF(INDEX('Time Entries'!G:G,$H54)="","",INDEX('Time Entries'!G:G,$H54)))</f>
        <v/>
      </c>
      <c r="F54" s="17">
        <f>IF($H54="","",IF(INDEX('Time Entries'!G:G,$H54)="","",INDEX('Time Entries'!J:J,$H54)))</f>
        <v/>
      </c>
      <c r="G54" s="18">
        <f>IF($H54="","",IF(INDEX('Time Entries'!G:G,$H54)="","",INDEX('Time Entries'!K:K,$H54)))</f>
        <v/>
      </c>
      <c r="H54">
        <f>IF(AND($I$4&gt;=ROW()-3,$H$4&lt;&gt;""),$H$4+ROW()-4,"")</f>
        <v/>
      </c>
    </row>
    <row r="55">
      <c r="A55" s="16">
        <f>IF($H55="","",IF(INDEX('Time Entries'!G:G,$H55)="","",INDEX('Time Entries'!G:G,$H55)&amp;" - "&amp;INDEX('Time Entries'!H:H,$H55)))</f>
        <v/>
      </c>
      <c r="B55" s="16">
        <f>IF($H55="","",IF(INDEX('Time Entries'!G:G,$H55)="","",INDEX('Time Entries'!M:M,$H55)))</f>
        <v/>
      </c>
      <c r="C55" s="16">
        <f>IF($H55="","",IF(INDEX('Time Entries'!G:G,$H55)="","",INDEX('Time Entries'!N:N,$H55)))</f>
        <v/>
      </c>
      <c r="D55" s="16">
        <f>IF($H55="","",IF(INDEX('Time Entries'!G:G,$H55)="","",INDEX('Time Entries'!F:F,$H55)))</f>
        <v/>
      </c>
      <c r="E55" s="16">
        <f>IF($H55="","",IF(INDEX('Time Entries'!G:G,$H55)="","",INDEX('Time Entries'!G:G,$H55)))</f>
        <v/>
      </c>
      <c r="F55" s="17">
        <f>IF($H55="","",IF(INDEX('Time Entries'!G:G,$H55)="","",INDEX('Time Entries'!J:J,$H55)))</f>
        <v/>
      </c>
      <c r="G55" s="18">
        <f>IF($H55="","",IF(INDEX('Time Entries'!G:G,$H55)="","",INDEX('Time Entries'!K:K,$H55)))</f>
        <v/>
      </c>
      <c r="H55">
        <f>IF(AND($I$4&gt;=ROW()-3,$H$4&lt;&gt;""),$H$4+ROW()-4,"")</f>
        <v/>
      </c>
    </row>
    <row r="56">
      <c r="A56" s="16">
        <f>IF($H56="","",IF(INDEX('Time Entries'!G:G,$H56)="","",INDEX('Time Entries'!G:G,$H56)&amp;" - "&amp;INDEX('Time Entries'!H:H,$H56)))</f>
        <v/>
      </c>
      <c r="B56" s="16">
        <f>IF($H56="","",IF(INDEX('Time Entries'!G:G,$H56)="","",INDEX('Time Entries'!M:M,$H56)))</f>
        <v/>
      </c>
      <c r="C56" s="16">
        <f>IF($H56="","",IF(INDEX('Time Entries'!G:G,$H56)="","",INDEX('Time Entries'!N:N,$H56)))</f>
        <v/>
      </c>
      <c r="D56" s="16">
        <f>IF($H56="","",IF(INDEX('Time Entries'!G:G,$H56)="","",INDEX('Time Entries'!F:F,$H56)))</f>
        <v/>
      </c>
      <c r="E56" s="16">
        <f>IF($H56="","",IF(INDEX('Time Entries'!G:G,$H56)="","",INDEX('Time Entries'!G:G,$H56)))</f>
        <v/>
      </c>
      <c r="F56" s="17">
        <f>IF($H56="","",IF(INDEX('Time Entries'!G:G,$H56)="","",INDEX('Time Entries'!J:J,$H56)))</f>
        <v/>
      </c>
      <c r="G56" s="18">
        <f>IF($H56="","",IF(INDEX('Time Entries'!G:G,$H56)="","",INDEX('Time Entries'!K:K,$H56)))</f>
        <v/>
      </c>
      <c r="H56">
        <f>IF(AND($I$4&gt;=ROW()-3,$H$4&lt;&gt;""),$H$4+ROW()-4,"")</f>
        <v/>
      </c>
    </row>
    <row r="57">
      <c r="A57" s="16">
        <f>IF($H57="","",IF(INDEX('Time Entries'!G:G,$H57)="","",INDEX('Time Entries'!G:G,$H57)&amp;" - "&amp;INDEX('Time Entries'!H:H,$H57)))</f>
        <v/>
      </c>
      <c r="B57" s="16">
        <f>IF($H57="","",IF(INDEX('Time Entries'!G:G,$H57)="","",INDEX('Time Entries'!M:M,$H57)))</f>
        <v/>
      </c>
      <c r="C57" s="16">
        <f>IF($H57="","",IF(INDEX('Time Entries'!G:G,$H57)="","",INDEX('Time Entries'!N:N,$H57)))</f>
        <v/>
      </c>
      <c r="D57" s="16">
        <f>IF($H57="","",IF(INDEX('Time Entries'!G:G,$H57)="","",INDEX('Time Entries'!F:F,$H57)))</f>
        <v/>
      </c>
      <c r="E57" s="16">
        <f>IF($H57="","",IF(INDEX('Time Entries'!G:G,$H57)="","",INDEX('Time Entries'!G:G,$H57)))</f>
        <v/>
      </c>
      <c r="F57" s="17">
        <f>IF($H57="","",IF(INDEX('Time Entries'!G:G,$H57)="","",INDEX('Time Entries'!J:J,$H57)))</f>
        <v/>
      </c>
      <c r="G57" s="18">
        <f>IF($H57="","",IF(INDEX('Time Entries'!G:G,$H57)="","",INDEX('Time Entries'!K:K,$H57)))</f>
        <v/>
      </c>
      <c r="H57">
        <f>IF(AND($I$4&gt;=ROW()-3,$H$4&lt;&gt;""),$H$4+ROW()-4,"")</f>
        <v/>
      </c>
    </row>
    <row r="58">
      <c r="A58" s="16">
        <f>IF($H58="","",IF(INDEX('Time Entries'!G:G,$H58)="","",INDEX('Time Entries'!G:G,$H58)&amp;" - "&amp;INDEX('Time Entries'!H:H,$H58)))</f>
        <v/>
      </c>
      <c r="B58" s="16">
        <f>IF($H58="","",IF(INDEX('Time Entries'!G:G,$H58)="","",INDEX('Time Entries'!M:M,$H58)))</f>
        <v/>
      </c>
      <c r="C58" s="16">
        <f>IF($H58="","",IF(INDEX('Time Entries'!G:G,$H58)="","",INDEX('Time Entries'!N:N,$H58)))</f>
        <v/>
      </c>
      <c r="D58" s="16">
        <f>IF($H58="","",IF(INDEX('Time Entries'!G:G,$H58)="","",INDEX('Time Entries'!F:F,$H58)))</f>
        <v/>
      </c>
      <c r="E58" s="16">
        <f>IF($H58="","",IF(INDEX('Time Entries'!G:G,$H58)="","",INDEX('Time Entries'!G:G,$H58)))</f>
        <v/>
      </c>
      <c r="F58" s="17">
        <f>IF($H58="","",IF(INDEX('Time Entries'!G:G,$H58)="","",INDEX('Time Entries'!J:J,$H58)))</f>
        <v/>
      </c>
      <c r="G58" s="18">
        <f>IF($H58="","",IF(INDEX('Time Entries'!G:G,$H58)="","",INDEX('Time Entries'!K:K,$H58)))</f>
        <v/>
      </c>
      <c r="H58">
        <f>IF(AND($I$4&gt;=ROW()-3,$H$4&lt;&gt;""),$H$4+ROW()-4,"")</f>
        <v/>
      </c>
    </row>
    <row r="59">
      <c r="A59" s="16">
        <f>IF($H59="","",IF(INDEX('Time Entries'!G:G,$H59)="","",INDEX('Time Entries'!G:G,$H59)&amp;" - "&amp;INDEX('Time Entries'!H:H,$H59)))</f>
        <v/>
      </c>
      <c r="B59" s="16">
        <f>IF($H59="","",IF(INDEX('Time Entries'!G:G,$H59)="","",INDEX('Time Entries'!M:M,$H59)))</f>
        <v/>
      </c>
      <c r="C59" s="16">
        <f>IF($H59="","",IF(INDEX('Time Entries'!G:G,$H59)="","",INDEX('Time Entries'!N:N,$H59)))</f>
        <v/>
      </c>
      <c r="D59" s="16">
        <f>IF($H59="","",IF(INDEX('Time Entries'!G:G,$H59)="","",INDEX('Time Entries'!F:F,$H59)))</f>
        <v/>
      </c>
      <c r="E59" s="16">
        <f>IF($H59="","",IF(INDEX('Time Entries'!G:G,$H59)="","",INDEX('Time Entries'!G:G,$H59)))</f>
        <v/>
      </c>
      <c r="F59" s="17">
        <f>IF($H59="","",IF(INDEX('Time Entries'!G:G,$H59)="","",INDEX('Time Entries'!J:J,$H59)))</f>
        <v/>
      </c>
      <c r="G59" s="18">
        <f>IF($H59="","",IF(INDEX('Time Entries'!G:G,$H59)="","",INDEX('Time Entries'!K:K,$H59)))</f>
        <v/>
      </c>
      <c r="H59">
        <f>IF(AND($I$4&gt;=ROW()-3,$H$4&lt;&gt;""),$H$4+ROW()-4,"")</f>
        <v/>
      </c>
    </row>
    <row r="60">
      <c r="A60" s="16">
        <f>IF($H60="","",IF(INDEX('Time Entries'!G:G,$H60)="","",INDEX('Time Entries'!G:G,$H60)&amp;" - "&amp;INDEX('Time Entries'!H:H,$H60)))</f>
        <v/>
      </c>
      <c r="B60" s="16">
        <f>IF($H60="","",IF(INDEX('Time Entries'!G:G,$H60)="","",INDEX('Time Entries'!M:M,$H60)))</f>
        <v/>
      </c>
      <c r="C60" s="16">
        <f>IF($H60="","",IF(INDEX('Time Entries'!G:G,$H60)="","",INDEX('Time Entries'!N:N,$H60)))</f>
        <v/>
      </c>
      <c r="D60" s="16">
        <f>IF($H60="","",IF(INDEX('Time Entries'!G:G,$H60)="","",INDEX('Time Entries'!F:F,$H60)))</f>
        <v/>
      </c>
      <c r="E60" s="16">
        <f>IF($H60="","",IF(INDEX('Time Entries'!G:G,$H60)="","",INDEX('Time Entries'!G:G,$H60)))</f>
        <v/>
      </c>
      <c r="F60" s="17">
        <f>IF($H60="","",IF(INDEX('Time Entries'!G:G,$H60)="","",INDEX('Time Entries'!J:J,$H60)))</f>
        <v/>
      </c>
      <c r="G60" s="18">
        <f>IF($H60="","",IF(INDEX('Time Entries'!G:G,$H60)="","",INDEX('Time Entries'!K:K,$H60)))</f>
        <v/>
      </c>
      <c r="H60">
        <f>IF(AND($I$4&gt;=ROW()-3,$H$4&lt;&gt;""),$H$4+ROW()-4,"")</f>
        <v/>
      </c>
    </row>
    <row r="61">
      <c r="A61" s="16">
        <f>IF($H61="","",IF(INDEX('Time Entries'!G:G,$H61)="","",INDEX('Time Entries'!G:G,$H61)&amp;" - "&amp;INDEX('Time Entries'!H:H,$H61)))</f>
        <v/>
      </c>
      <c r="B61" s="16">
        <f>IF($H61="","",IF(INDEX('Time Entries'!G:G,$H61)="","",INDEX('Time Entries'!M:M,$H61)))</f>
        <v/>
      </c>
      <c r="C61" s="16">
        <f>IF($H61="","",IF(INDEX('Time Entries'!G:G,$H61)="","",INDEX('Time Entries'!N:N,$H61)))</f>
        <v/>
      </c>
      <c r="D61" s="16">
        <f>IF($H61="","",IF(INDEX('Time Entries'!G:G,$H61)="","",INDEX('Time Entries'!F:F,$H61)))</f>
        <v/>
      </c>
      <c r="E61" s="16">
        <f>IF($H61="","",IF(INDEX('Time Entries'!G:G,$H61)="","",INDEX('Time Entries'!G:G,$H61)))</f>
        <v/>
      </c>
      <c r="F61" s="17">
        <f>IF($H61="","",IF(INDEX('Time Entries'!G:G,$H61)="","",INDEX('Time Entries'!J:J,$H61)))</f>
        <v/>
      </c>
      <c r="G61" s="18">
        <f>IF($H61="","",IF(INDEX('Time Entries'!G:G,$H61)="","",INDEX('Time Entries'!K:K,$H61)))</f>
        <v/>
      </c>
      <c r="H61">
        <f>IF(AND($I$4&gt;=ROW()-3,$H$4&lt;&gt;""),$H$4+ROW()-4,"")</f>
        <v/>
      </c>
    </row>
    <row r="62">
      <c r="A62" s="16">
        <f>IF($H62="","",IF(INDEX('Time Entries'!G:G,$H62)="","",INDEX('Time Entries'!G:G,$H62)&amp;" - "&amp;INDEX('Time Entries'!H:H,$H62)))</f>
        <v/>
      </c>
      <c r="B62" s="16">
        <f>IF($H62="","",IF(INDEX('Time Entries'!G:G,$H62)="","",INDEX('Time Entries'!M:M,$H62)))</f>
        <v/>
      </c>
      <c r="C62" s="16">
        <f>IF($H62="","",IF(INDEX('Time Entries'!G:G,$H62)="","",INDEX('Time Entries'!N:N,$H62)))</f>
        <v/>
      </c>
      <c r="D62" s="16">
        <f>IF($H62="","",IF(INDEX('Time Entries'!G:G,$H62)="","",INDEX('Time Entries'!F:F,$H62)))</f>
        <v/>
      </c>
      <c r="E62" s="16">
        <f>IF($H62="","",IF(INDEX('Time Entries'!G:G,$H62)="","",INDEX('Time Entries'!G:G,$H62)))</f>
        <v/>
      </c>
      <c r="F62" s="17">
        <f>IF($H62="","",IF(INDEX('Time Entries'!G:G,$H62)="","",INDEX('Time Entries'!J:J,$H62)))</f>
        <v/>
      </c>
      <c r="G62" s="18">
        <f>IF($H62="","",IF(INDEX('Time Entries'!G:G,$H62)="","",INDEX('Time Entries'!K:K,$H62)))</f>
        <v/>
      </c>
      <c r="H62">
        <f>IF(AND($I$4&gt;=ROW()-3,$H$4&lt;&gt;""),$H$4+ROW()-4,"")</f>
        <v/>
      </c>
    </row>
    <row r="63">
      <c r="A63" s="16">
        <f>IF($H63="","",IF(INDEX('Time Entries'!G:G,$H63)="","",INDEX('Time Entries'!G:G,$H63)&amp;" - "&amp;INDEX('Time Entries'!H:H,$H63)))</f>
        <v/>
      </c>
      <c r="B63" s="16">
        <f>IF($H63="","",IF(INDEX('Time Entries'!G:G,$H63)="","",INDEX('Time Entries'!M:M,$H63)))</f>
        <v/>
      </c>
      <c r="C63" s="16">
        <f>IF($H63="","",IF(INDEX('Time Entries'!G:G,$H63)="","",INDEX('Time Entries'!N:N,$H63)))</f>
        <v/>
      </c>
      <c r="D63" s="16">
        <f>IF($H63="","",IF(INDEX('Time Entries'!G:G,$H63)="","",INDEX('Time Entries'!F:F,$H63)))</f>
        <v/>
      </c>
      <c r="E63" s="16">
        <f>IF($H63="","",IF(INDEX('Time Entries'!G:G,$H63)="","",INDEX('Time Entries'!G:G,$H63)))</f>
        <v/>
      </c>
      <c r="F63" s="17">
        <f>IF($H63="","",IF(INDEX('Time Entries'!G:G,$H63)="","",INDEX('Time Entries'!J:J,$H63)))</f>
        <v/>
      </c>
      <c r="G63" s="18">
        <f>IF($H63="","",IF(INDEX('Time Entries'!G:G,$H63)="","",INDEX('Time Entries'!K:K,$H63)))</f>
        <v/>
      </c>
      <c r="H63">
        <f>IF(AND($I$4&gt;=ROW()-3,$H$4&lt;&gt;""),$H$4+ROW()-4,"")</f>
        <v/>
      </c>
    </row>
    <row r="65">
      <c r="A65" s="19" t="inlineStr">
        <is>
          <t>DAY SUMMARY</t>
        </is>
      </c>
    </row>
    <row r="66">
      <c r="A66" s="10" t="inlineStr">
        <is>
          <t>Total Hours:</t>
        </is>
      </c>
      <c r="B66" s="11">
        <f>SUM(F4:F63)</f>
        <v/>
      </c>
    </row>
    <row r="67">
      <c r="A67" s="10" t="inlineStr">
        <is>
          <t>Working Day:</t>
        </is>
      </c>
      <c r="B67" s="10" t="inlineStr">
        <is>
          <t>7.50 h</t>
        </is>
      </c>
    </row>
    <row r="68">
      <c r="A68" s="10" t="inlineStr">
        <is>
          <t>% Utilized:</t>
        </is>
      </c>
      <c r="B68" s="20">
        <f>IF(F66=0,"N/A",F66/7.5)</f>
        <v/>
      </c>
    </row>
    <row r="69">
      <c r="A69" s="10" t="inlineStr">
        <is>
          <t>Status:</t>
        </is>
      </c>
      <c r="B69" s="10">
        <f>IF(F66=0,"No entries",IF(F66&gt;=7.5,"Full day","Partial: "&amp;TEXT(7.5-F66,"0.00")&amp;"h remaining"))</f>
        <v/>
      </c>
    </row>
  </sheetData>
  <mergeCells count="3">
    <mergeCell ref="A2:G2"/>
    <mergeCell ref="A1:B1"/>
    <mergeCell ref="A65:G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14" customWidth="1" min="5" max="5"/>
    <col width="16" customWidth="1" min="6" max="6"/>
    <col width="14" customWidth="1" min="7" max="7"/>
    <col width="16" customWidth="1" min="8" max="8"/>
    <col hidden="1" width="13" customWidth="1" min="9" max="9"/>
    <col hidden="1" width="13" customWidth="1" min="10" max="10"/>
    <col hidden="1" width="13" customWidth="1" min="11" max="11"/>
  </cols>
  <sheetData>
    <row r="1">
      <c r="A1" s="21" t="inlineStr">
        <is>
          <t>Monthly Performance</t>
        </is>
      </c>
      <c r="I1" t="inlineStr">
        <is>
          <t>LatestDate</t>
        </is>
      </c>
      <c r="J1" t="inlineStr">
        <is>
          <t>MonthStart</t>
        </is>
      </c>
      <c r="K1" t="inlineStr">
        <is>
          <t>MonthEnd</t>
        </is>
      </c>
    </row>
    <row r="2">
      <c r="A2" s="7">
        <f>"Month: "&amp;TEXT(J2,"mm-yyyy")</f>
        <v/>
      </c>
      <c r="I2">
        <f>MAX('Time Entries'!A:A)</f>
        <v/>
      </c>
      <c r="J2">
        <f>DATE(YEAR(I2),MONTH(I2),1)</f>
        <v/>
      </c>
      <c r="K2">
        <f>EOMONTH(I2,0)</f>
        <v/>
      </c>
    </row>
    <row r="3">
      <c r="A3" s="1" t="inlineStr">
        <is>
          <t>Code</t>
        </is>
      </c>
      <c r="B3" s="1" t="inlineStr">
        <is>
          <t>Father Task</t>
        </is>
      </c>
      <c r="C3" s="1" t="inlineStr">
        <is>
          <t>Project</t>
        </is>
      </c>
      <c r="D3" s="1" t="inlineStr">
        <is>
          <t>Total Hours</t>
        </is>
      </c>
      <c r="E3" s="1" t="inlineStr">
        <is>
          <t>Deadline (h)</t>
        </is>
      </c>
      <c r="F3" s="1" t="inlineStr">
        <is>
          <t>% Performance</t>
        </is>
      </c>
      <c r="G3" s="1" t="inlineStr">
        <is>
          <t>Status</t>
        </is>
      </c>
      <c r="H3" s="1" t="inlineStr">
        <is>
          <t>Completed Date</t>
        </is>
      </c>
    </row>
    <row r="4">
      <c r="A4" s="18">
        <f>IF(KPIs!A2="","",KPIs!A2)</f>
        <v/>
      </c>
      <c r="B4" s="18">
        <f>IF(KPIs!B2="","",KPIs!B2)</f>
        <v/>
      </c>
      <c r="C4" s="16">
        <f>IF($B4="","",INDEX(KPIs!C:C,MATCH($B4,KPIs!B:B,0)))</f>
        <v/>
      </c>
      <c r="D4" s="17">
        <f>IF($B4="","",SUMIFS('Time Entries'!J:J,'Time Entries'!N:N,$B4,'Time Entries'!A:A,"&gt;="&amp;$J$2,'Time Entries'!A:A,"&lt;="&amp;$K$2))</f>
        <v/>
      </c>
      <c r="E4" s="17">
        <f>IF($B4="","",INDEX(KPIs!F:F,MATCH($B4,KPIs!B:B,0)))</f>
        <v/>
      </c>
      <c r="F4" s="22">
        <f>IF(OR($B4="",E4=0),"",D4/E4*100)</f>
        <v/>
      </c>
      <c r="G4" s="16">
        <f>IF($B4="","",INDEX(KPIs!G:G,MATCH($B4,KPIs!B:B,0)))</f>
        <v/>
      </c>
      <c r="H4" s="23">
        <f>IF($B4="","",INDEX(KPIs!H:H,MATCH($B4,KPIs!B:B,0)))</f>
        <v/>
      </c>
    </row>
    <row r="5">
      <c r="A5" s="18">
        <f>IF(KPIs!A3="","",KPIs!A3)</f>
        <v/>
      </c>
      <c r="B5" s="18">
        <f>IF(KPIs!B3="","",KPIs!B3)</f>
        <v/>
      </c>
      <c r="C5" s="16">
        <f>IF($B5="","",INDEX(KPIs!C:C,MATCH($B5,KPIs!B:B,0)))</f>
        <v/>
      </c>
      <c r="D5" s="17">
        <f>IF($B5="","",SUMIFS('Time Entries'!J:J,'Time Entries'!N:N,$B5,'Time Entries'!A:A,"&gt;="&amp;$J$2,'Time Entries'!A:A,"&lt;="&amp;$K$2))</f>
        <v/>
      </c>
      <c r="E5" s="17">
        <f>IF($B5="","",INDEX(KPIs!F:F,MATCH($B5,KPIs!B:B,0)))</f>
        <v/>
      </c>
      <c r="F5" s="22">
        <f>IF(OR($B5="",E5=0),"",D5/E5*100)</f>
        <v/>
      </c>
      <c r="G5" s="16">
        <f>IF($B5="","",INDEX(KPIs!G:G,MATCH($B5,KPIs!B:B,0)))</f>
        <v/>
      </c>
      <c r="H5" s="23">
        <f>IF($B5="","",INDEX(KPIs!H:H,MATCH($B5,KPIs!B:B,0)))</f>
        <v/>
      </c>
    </row>
    <row r="6">
      <c r="A6" s="18">
        <f>IF(KPIs!A4="","",KPIs!A4)</f>
        <v/>
      </c>
      <c r="B6" s="18">
        <f>IF(KPIs!B4="","",KPIs!B4)</f>
        <v/>
      </c>
      <c r="C6" s="16">
        <f>IF($B6="","",INDEX(KPIs!C:C,MATCH($B6,KPIs!B:B,0)))</f>
        <v/>
      </c>
      <c r="D6" s="17">
        <f>IF($B6="","",SUMIFS('Time Entries'!J:J,'Time Entries'!N:N,$B6,'Time Entries'!A:A,"&gt;="&amp;$J$2,'Time Entries'!A:A,"&lt;="&amp;$K$2))</f>
        <v/>
      </c>
      <c r="E6" s="17">
        <f>IF($B6="","",INDEX(KPIs!F:F,MATCH($B6,KPIs!B:B,0)))</f>
        <v/>
      </c>
      <c r="F6" s="22">
        <f>IF(OR($B6="",E6=0),"",D6/E6*100)</f>
        <v/>
      </c>
      <c r="G6" s="16">
        <f>IF($B6="","",INDEX(KPIs!G:G,MATCH($B6,KPIs!B:B,0)))</f>
        <v/>
      </c>
      <c r="H6" s="23">
        <f>IF($B6="","",INDEX(KPIs!H:H,MATCH($B6,KPIs!B:B,0)))</f>
        <v/>
      </c>
    </row>
    <row r="7">
      <c r="A7" s="18">
        <f>IF(KPIs!A5="","",KPIs!A5)</f>
        <v/>
      </c>
      <c r="B7" s="18">
        <f>IF(KPIs!B5="","",KPIs!B5)</f>
        <v/>
      </c>
      <c r="C7" s="16">
        <f>IF($B7="","",INDEX(KPIs!C:C,MATCH($B7,KPIs!B:B,0)))</f>
        <v/>
      </c>
      <c r="D7" s="17">
        <f>IF($B7="","",SUMIFS('Time Entries'!J:J,'Time Entries'!N:N,$B7,'Time Entries'!A:A,"&gt;="&amp;$J$2,'Time Entries'!A:A,"&lt;="&amp;$K$2))</f>
        <v/>
      </c>
      <c r="E7" s="17">
        <f>IF($B7="","",INDEX(KPIs!F:F,MATCH($B7,KPIs!B:B,0)))</f>
        <v/>
      </c>
      <c r="F7" s="22">
        <f>IF(OR($B7="",E7=0),"",D7/E7*100)</f>
        <v/>
      </c>
      <c r="G7" s="16">
        <f>IF($B7="","",INDEX(KPIs!G:G,MATCH($B7,KPIs!B:B,0)))</f>
        <v/>
      </c>
      <c r="H7" s="23">
        <f>IF($B7="","",INDEX(KPIs!H:H,MATCH($B7,KPIs!B:B,0)))</f>
        <v/>
      </c>
    </row>
    <row r="8">
      <c r="A8" s="18">
        <f>IF(KPIs!A6="","",KPIs!A6)</f>
        <v/>
      </c>
      <c r="B8" s="18">
        <f>IF(KPIs!B6="","",KPIs!B6)</f>
        <v/>
      </c>
      <c r="C8" s="16">
        <f>IF($B8="","",INDEX(KPIs!C:C,MATCH($B8,KPIs!B:B,0)))</f>
        <v/>
      </c>
      <c r="D8" s="17">
        <f>IF($B8="","",SUMIFS('Time Entries'!J:J,'Time Entries'!N:N,$B8,'Time Entries'!A:A,"&gt;="&amp;$J$2,'Time Entries'!A:A,"&lt;="&amp;$K$2))</f>
        <v/>
      </c>
      <c r="E8" s="17">
        <f>IF($B8="","",INDEX(KPIs!F:F,MATCH($B8,KPIs!B:B,0)))</f>
        <v/>
      </c>
      <c r="F8" s="22">
        <f>IF(OR($B8="",E8=0),"",D8/E8*100)</f>
        <v/>
      </c>
      <c r="G8" s="16">
        <f>IF($B8="","",INDEX(KPIs!G:G,MATCH($B8,KPIs!B:B,0)))</f>
        <v/>
      </c>
      <c r="H8" s="23">
        <f>IF($B8="","",INDEX(KPIs!H:H,MATCH($B8,KPIs!B:B,0)))</f>
        <v/>
      </c>
    </row>
    <row r="9">
      <c r="A9" s="18">
        <f>IF(KPIs!A7="","",KPIs!A7)</f>
        <v/>
      </c>
      <c r="B9" s="18">
        <f>IF(KPIs!B7="","",KPIs!B7)</f>
        <v/>
      </c>
      <c r="C9" s="16">
        <f>IF($B9="","",INDEX(KPIs!C:C,MATCH($B9,KPIs!B:B,0)))</f>
        <v/>
      </c>
      <c r="D9" s="17">
        <f>IF($B9="","",SUMIFS('Time Entries'!J:J,'Time Entries'!N:N,$B9,'Time Entries'!A:A,"&gt;="&amp;$J$2,'Time Entries'!A:A,"&lt;="&amp;$K$2))</f>
        <v/>
      </c>
      <c r="E9" s="17">
        <f>IF($B9="","",INDEX(KPIs!F:F,MATCH($B9,KPIs!B:B,0)))</f>
        <v/>
      </c>
      <c r="F9" s="22">
        <f>IF(OR($B9="",E9=0),"",D9/E9*100)</f>
        <v/>
      </c>
      <c r="G9" s="16">
        <f>IF($B9="","",INDEX(KPIs!G:G,MATCH($B9,KPIs!B:B,0)))</f>
        <v/>
      </c>
      <c r="H9" s="23">
        <f>IF($B9="","",INDEX(KPIs!H:H,MATCH($B9,KPIs!B:B,0)))</f>
        <v/>
      </c>
    </row>
    <row r="10">
      <c r="A10" s="18">
        <f>IF(KPIs!A8="","",KPIs!A8)</f>
        <v/>
      </c>
      <c r="B10" s="18">
        <f>IF(KPIs!B8="","",KPIs!B8)</f>
        <v/>
      </c>
      <c r="C10" s="16">
        <f>IF($B10="","",INDEX(KPIs!C:C,MATCH($B10,KPIs!B:B,0)))</f>
        <v/>
      </c>
      <c r="D10" s="17">
        <f>IF($B10="","",SUMIFS('Time Entries'!J:J,'Time Entries'!N:N,$B10,'Time Entries'!A:A,"&gt;="&amp;$J$2,'Time Entries'!A:A,"&lt;="&amp;$K$2))</f>
        <v/>
      </c>
      <c r="E10" s="17">
        <f>IF($B10="","",INDEX(KPIs!F:F,MATCH($B10,KPIs!B:B,0)))</f>
        <v/>
      </c>
      <c r="F10" s="22">
        <f>IF(OR($B10="",E10=0),"",D10/E10*100)</f>
        <v/>
      </c>
      <c r="G10" s="16">
        <f>IF($B10="","",INDEX(KPIs!G:G,MATCH($B10,KPIs!B:B,0)))</f>
        <v/>
      </c>
      <c r="H10" s="23">
        <f>IF($B10="","",INDEX(KPIs!H:H,MATCH($B10,KPIs!B:B,0)))</f>
        <v/>
      </c>
    </row>
    <row r="11">
      <c r="A11" s="18">
        <f>IF(KPIs!A9="","",KPIs!A9)</f>
        <v/>
      </c>
      <c r="B11" s="18">
        <f>IF(KPIs!B9="","",KPIs!B9)</f>
        <v/>
      </c>
      <c r="C11" s="16">
        <f>IF($B11="","",INDEX(KPIs!C:C,MATCH($B11,KPIs!B:B,0)))</f>
        <v/>
      </c>
      <c r="D11" s="17">
        <f>IF($B11="","",SUMIFS('Time Entries'!J:J,'Time Entries'!N:N,$B11,'Time Entries'!A:A,"&gt;="&amp;$J$2,'Time Entries'!A:A,"&lt;="&amp;$K$2))</f>
        <v/>
      </c>
      <c r="E11" s="17">
        <f>IF($B11="","",INDEX(KPIs!F:F,MATCH($B11,KPIs!B:B,0)))</f>
        <v/>
      </c>
      <c r="F11" s="22">
        <f>IF(OR($B11="",E11=0),"",D11/E11*100)</f>
        <v/>
      </c>
      <c r="G11" s="16">
        <f>IF($B11="","",INDEX(KPIs!G:G,MATCH($B11,KPIs!B:B,0)))</f>
        <v/>
      </c>
      <c r="H11" s="23">
        <f>IF($B11="","",INDEX(KPIs!H:H,MATCH($B11,KPIs!B:B,0)))</f>
        <v/>
      </c>
    </row>
    <row r="12">
      <c r="A12" s="18">
        <f>IF(KPIs!A10="","",KPIs!A10)</f>
        <v/>
      </c>
      <c r="B12" s="18">
        <f>IF(KPIs!B10="","",KPIs!B10)</f>
        <v/>
      </c>
      <c r="C12" s="16">
        <f>IF($B12="","",INDEX(KPIs!C:C,MATCH($B12,KPIs!B:B,0)))</f>
        <v/>
      </c>
      <c r="D12" s="17">
        <f>IF($B12="","",SUMIFS('Time Entries'!J:J,'Time Entries'!N:N,$B12,'Time Entries'!A:A,"&gt;="&amp;$J$2,'Time Entries'!A:A,"&lt;="&amp;$K$2))</f>
        <v/>
      </c>
      <c r="E12" s="17">
        <f>IF($B12="","",INDEX(KPIs!F:F,MATCH($B12,KPIs!B:B,0)))</f>
        <v/>
      </c>
      <c r="F12" s="22">
        <f>IF(OR($B12="",E12=0),"",D12/E12*100)</f>
        <v/>
      </c>
      <c r="G12" s="16">
        <f>IF($B12="","",INDEX(KPIs!G:G,MATCH($B12,KPIs!B:B,0)))</f>
        <v/>
      </c>
      <c r="H12" s="23">
        <f>IF($B12="","",INDEX(KPIs!H:H,MATCH($B12,KPIs!B:B,0)))</f>
        <v/>
      </c>
    </row>
    <row r="13">
      <c r="A13" s="18">
        <f>IF(KPIs!A11="","",KPIs!A11)</f>
        <v/>
      </c>
      <c r="B13" s="18">
        <f>IF(KPIs!B11="","",KPIs!B11)</f>
        <v/>
      </c>
      <c r="C13" s="16">
        <f>IF($B13="","",INDEX(KPIs!C:C,MATCH($B13,KPIs!B:B,0)))</f>
        <v/>
      </c>
      <c r="D13" s="17">
        <f>IF($B13="","",SUMIFS('Time Entries'!J:J,'Time Entries'!N:N,$B13,'Time Entries'!A:A,"&gt;="&amp;$J$2,'Time Entries'!A:A,"&lt;="&amp;$K$2))</f>
        <v/>
      </c>
      <c r="E13" s="17">
        <f>IF($B13="","",INDEX(KPIs!F:F,MATCH($B13,KPIs!B:B,0)))</f>
        <v/>
      </c>
      <c r="F13" s="22">
        <f>IF(OR($B13="",E13=0),"",D13/E13*100)</f>
        <v/>
      </c>
      <c r="G13" s="16">
        <f>IF($B13="","",INDEX(KPIs!G:G,MATCH($B13,KPIs!B:B,0)))</f>
        <v/>
      </c>
      <c r="H13" s="23">
        <f>IF($B13="","",INDEX(KPIs!H:H,MATCH($B13,KPIs!B:B,0)))</f>
        <v/>
      </c>
    </row>
    <row r="14">
      <c r="A14" s="18">
        <f>IF(KPIs!A12="","",KPIs!A12)</f>
        <v/>
      </c>
      <c r="B14" s="18">
        <f>IF(KPIs!B12="","",KPIs!B12)</f>
        <v/>
      </c>
      <c r="C14" s="16">
        <f>IF($B14="","",INDEX(KPIs!C:C,MATCH($B14,KPIs!B:B,0)))</f>
        <v/>
      </c>
      <c r="D14" s="17">
        <f>IF($B14="","",SUMIFS('Time Entries'!J:J,'Time Entries'!N:N,$B14,'Time Entries'!A:A,"&gt;="&amp;$J$2,'Time Entries'!A:A,"&lt;="&amp;$K$2))</f>
        <v/>
      </c>
      <c r="E14" s="17">
        <f>IF($B14="","",INDEX(KPIs!F:F,MATCH($B14,KPIs!B:B,0)))</f>
        <v/>
      </c>
      <c r="F14" s="22">
        <f>IF(OR($B14="",E14=0),"",D14/E14*100)</f>
        <v/>
      </c>
      <c r="G14" s="16">
        <f>IF($B14="","",INDEX(KPIs!G:G,MATCH($B14,KPIs!B:B,0)))</f>
        <v/>
      </c>
      <c r="H14" s="23">
        <f>IF($B14="","",INDEX(KPIs!H:H,MATCH($B14,KPIs!B:B,0)))</f>
        <v/>
      </c>
    </row>
    <row r="15">
      <c r="A15" s="18">
        <f>IF(KPIs!A13="","",KPIs!A13)</f>
        <v/>
      </c>
      <c r="B15" s="18">
        <f>IF(KPIs!B13="","",KPIs!B13)</f>
        <v/>
      </c>
      <c r="C15" s="16">
        <f>IF($B15="","",INDEX(KPIs!C:C,MATCH($B15,KPIs!B:B,0)))</f>
        <v/>
      </c>
      <c r="D15" s="17">
        <f>IF($B15="","",SUMIFS('Time Entries'!J:J,'Time Entries'!N:N,$B15,'Time Entries'!A:A,"&gt;="&amp;$J$2,'Time Entries'!A:A,"&lt;="&amp;$K$2))</f>
        <v/>
      </c>
      <c r="E15" s="17">
        <f>IF($B15="","",INDEX(KPIs!F:F,MATCH($B15,KPIs!B:B,0)))</f>
        <v/>
      </c>
      <c r="F15" s="22">
        <f>IF(OR($B15="",E15=0),"",D15/E15*100)</f>
        <v/>
      </c>
      <c r="G15" s="16">
        <f>IF($B15="","",INDEX(KPIs!G:G,MATCH($B15,KPIs!B:B,0)))</f>
        <v/>
      </c>
      <c r="H15" s="23">
        <f>IF($B15="","",INDEX(KPIs!H:H,MATCH($B15,KPIs!B:B,0)))</f>
        <v/>
      </c>
    </row>
    <row r="16">
      <c r="A16" s="18">
        <f>IF(KPIs!A14="","",KPIs!A14)</f>
        <v/>
      </c>
      <c r="B16" s="18">
        <f>IF(KPIs!B14="","",KPIs!B14)</f>
        <v/>
      </c>
      <c r="C16" s="16">
        <f>IF($B16="","",INDEX(KPIs!C:C,MATCH($B16,KPIs!B:B,0)))</f>
        <v/>
      </c>
      <c r="D16" s="17">
        <f>IF($B16="","",SUMIFS('Time Entries'!J:J,'Time Entries'!N:N,$B16,'Time Entries'!A:A,"&gt;="&amp;$J$2,'Time Entries'!A:A,"&lt;="&amp;$K$2))</f>
        <v/>
      </c>
      <c r="E16" s="17">
        <f>IF($B16="","",INDEX(KPIs!F:F,MATCH($B16,KPIs!B:B,0)))</f>
        <v/>
      </c>
      <c r="F16" s="22">
        <f>IF(OR($B16="",E16=0),"",D16/E16*100)</f>
        <v/>
      </c>
      <c r="G16" s="16">
        <f>IF($B16="","",INDEX(KPIs!G:G,MATCH($B16,KPIs!B:B,0)))</f>
        <v/>
      </c>
      <c r="H16" s="23">
        <f>IF($B16="","",INDEX(KPIs!H:H,MATCH($B16,KPIs!B:B,0)))</f>
        <v/>
      </c>
    </row>
    <row r="17">
      <c r="A17" s="18">
        <f>IF(KPIs!A15="","",KPIs!A15)</f>
        <v/>
      </c>
      <c r="B17" s="18">
        <f>IF(KPIs!B15="","",KPIs!B15)</f>
        <v/>
      </c>
      <c r="C17" s="16">
        <f>IF($B17="","",INDEX(KPIs!C:C,MATCH($B17,KPIs!B:B,0)))</f>
        <v/>
      </c>
      <c r="D17" s="17">
        <f>IF($B17="","",SUMIFS('Time Entries'!J:J,'Time Entries'!N:N,$B17,'Time Entries'!A:A,"&gt;="&amp;$J$2,'Time Entries'!A:A,"&lt;="&amp;$K$2))</f>
        <v/>
      </c>
      <c r="E17" s="17">
        <f>IF($B17="","",INDEX(KPIs!F:F,MATCH($B17,KPIs!B:B,0)))</f>
        <v/>
      </c>
      <c r="F17" s="22">
        <f>IF(OR($B17="",E17=0),"",D17/E17*100)</f>
        <v/>
      </c>
      <c r="G17" s="16">
        <f>IF($B17="","",INDEX(KPIs!G:G,MATCH($B17,KPIs!B:B,0)))</f>
        <v/>
      </c>
      <c r="H17" s="23">
        <f>IF($B17="","",INDEX(KPIs!H:H,MATCH($B17,KPIs!B:B,0)))</f>
        <v/>
      </c>
    </row>
    <row r="18">
      <c r="A18" s="18">
        <f>IF(KPIs!A16="","",KPIs!A16)</f>
        <v/>
      </c>
      <c r="B18" s="18">
        <f>IF(KPIs!B16="","",KPIs!B16)</f>
        <v/>
      </c>
      <c r="C18" s="16">
        <f>IF($B18="","",INDEX(KPIs!C:C,MATCH($B18,KPIs!B:B,0)))</f>
        <v/>
      </c>
      <c r="D18" s="17">
        <f>IF($B18="","",SUMIFS('Time Entries'!J:J,'Time Entries'!N:N,$B18,'Time Entries'!A:A,"&gt;="&amp;$J$2,'Time Entries'!A:A,"&lt;="&amp;$K$2))</f>
        <v/>
      </c>
      <c r="E18" s="17">
        <f>IF($B18="","",INDEX(KPIs!F:F,MATCH($B18,KPIs!B:B,0)))</f>
        <v/>
      </c>
      <c r="F18" s="22">
        <f>IF(OR($B18="",E18=0),"",D18/E18*100)</f>
        <v/>
      </c>
      <c r="G18" s="16">
        <f>IF($B18="","",INDEX(KPIs!G:G,MATCH($B18,KPIs!B:B,0)))</f>
        <v/>
      </c>
      <c r="H18" s="23">
        <f>IF($B18="","",INDEX(KPIs!H:H,MATCH($B18,KPIs!B:B,0)))</f>
        <v/>
      </c>
    </row>
    <row r="19">
      <c r="A19" s="18">
        <f>IF(KPIs!A17="","",KPIs!A17)</f>
        <v/>
      </c>
      <c r="B19" s="18">
        <f>IF(KPIs!B17="","",KPIs!B17)</f>
        <v/>
      </c>
      <c r="C19" s="16">
        <f>IF($B19="","",INDEX(KPIs!C:C,MATCH($B19,KPIs!B:B,0)))</f>
        <v/>
      </c>
      <c r="D19" s="17">
        <f>IF($B19="","",SUMIFS('Time Entries'!J:J,'Time Entries'!N:N,$B19,'Time Entries'!A:A,"&gt;="&amp;$J$2,'Time Entries'!A:A,"&lt;="&amp;$K$2))</f>
        <v/>
      </c>
      <c r="E19" s="17">
        <f>IF($B19="","",INDEX(KPIs!F:F,MATCH($B19,KPIs!B:B,0)))</f>
        <v/>
      </c>
      <c r="F19" s="22">
        <f>IF(OR($B19="",E19=0),"",D19/E19*100)</f>
        <v/>
      </c>
      <c r="G19" s="16">
        <f>IF($B19="","",INDEX(KPIs!G:G,MATCH($B19,KPIs!B:B,0)))</f>
        <v/>
      </c>
      <c r="H19" s="23">
        <f>IF($B19="","",INDEX(KPIs!H:H,MATCH($B19,KPIs!B:B,0)))</f>
        <v/>
      </c>
    </row>
    <row r="20">
      <c r="A20" s="18">
        <f>IF(KPIs!A18="","",KPIs!A18)</f>
        <v/>
      </c>
      <c r="B20" s="18">
        <f>IF(KPIs!B18="","",KPIs!B18)</f>
        <v/>
      </c>
      <c r="C20" s="16">
        <f>IF($B20="","",INDEX(KPIs!C:C,MATCH($B20,KPIs!B:B,0)))</f>
        <v/>
      </c>
      <c r="D20" s="17">
        <f>IF($B20="","",SUMIFS('Time Entries'!J:J,'Time Entries'!N:N,$B20,'Time Entries'!A:A,"&gt;="&amp;$J$2,'Time Entries'!A:A,"&lt;="&amp;$K$2))</f>
        <v/>
      </c>
      <c r="E20" s="17">
        <f>IF($B20="","",INDEX(KPIs!F:F,MATCH($B20,KPIs!B:B,0)))</f>
        <v/>
      </c>
      <c r="F20" s="22">
        <f>IF(OR($B20="",E20=0),"",D20/E20*100)</f>
        <v/>
      </c>
      <c r="G20" s="16">
        <f>IF($B20="","",INDEX(KPIs!G:G,MATCH($B20,KPIs!B:B,0)))</f>
        <v/>
      </c>
      <c r="H20" s="23">
        <f>IF($B20="","",INDEX(KPIs!H:H,MATCH($B20,KPIs!B:B,0)))</f>
        <v/>
      </c>
    </row>
    <row r="21">
      <c r="A21" s="18">
        <f>IF(KPIs!A19="","",KPIs!A19)</f>
        <v/>
      </c>
      <c r="B21" s="18">
        <f>IF(KPIs!B19="","",KPIs!B19)</f>
        <v/>
      </c>
      <c r="C21" s="16">
        <f>IF($B21="","",INDEX(KPIs!C:C,MATCH($B21,KPIs!B:B,0)))</f>
        <v/>
      </c>
      <c r="D21" s="17">
        <f>IF($B21="","",SUMIFS('Time Entries'!J:J,'Time Entries'!N:N,$B21,'Time Entries'!A:A,"&gt;="&amp;$J$2,'Time Entries'!A:A,"&lt;="&amp;$K$2))</f>
        <v/>
      </c>
      <c r="E21" s="17">
        <f>IF($B21="","",INDEX(KPIs!F:F,MATCH($B21,KPIs!B:B,0)))</f>
        <v/>
      </c>
      <c r="F21" s="22">
        <f>IF(OR($B21="",E21=0),"",D21/E21*100)</f>
        <v/>
      </c>
      <c r="G21" s="16">
        <f>IF($B21="","",INDEX(KPIs!G:G,MATCH($B21,KPIs!B:B,0)))</f>
        <v/>
      </c>
      <c r="H21" s="23">
        <f>IF($B21="","",INDEX(KPIs!H:H,MATCH($B21,KPIs!B:B,0)))</f>
        <v/>
      </c>
    </row>
    <row r="22">
      <c r="A22" s="18">
        <f>IF(KPIs!A20="","",KPIs!A20)</f>
        <v/>
      </c>
      <c r="B22" s="18">
        <f>IF(KPIs!B20="","",KPIs!B20)</f>
        <v/>
      </c>
      <c r="C22" s="16">
        <f>IF($B22="","",INDEX(KPIs!C:C,MATCH($B22,KPIs!B:B,0)))</f>
        <v/>
      </c>
      <c r="D22" s="17">
        <f>IF($B22="","",SUMIFS('Time Entries'!J:J,'Time Entries'!N:N,$B22,'Time Entries'!A:A,"&gt;="&amp;$J$2,'Time Entries'!A:A,"&lt;="&amp;$K$2))</f>
        <v/>
      </c>
      <c r="E22" s="17">
        <f>IF($B22="","",INDEX(KPIs!F:F,MATCH($B22,KPIs!B:B,0)))</f>
        <v/>
      </c>
      <c r="F22" s="22">
        <f>IF(OR($B22="",E22=0),"",D22/E22*100)</f>
        <v/>
      </c>
      <c r="G22" s="16">
        <f>IF($B22="","",INDEX(KPIs!G:G,MATCH($B22,KPIs!B:B,0)))</f>
        <v/>
      </c>
      <c r="H22" s="23">
        <f>IF($B22="","",INDEX(KPIs!H:H,MATCH($B22,KPIs!B:B,0)))</f>
        <v/>
      </c>
    </row>
    <row r="23">
      <c r="A23" s="18">
        <f>IF(KPIs!A21="","",KPIs!A21)</f>
        <v/>
      </c>
      <c r="B23" s="18">
        <f>IF(KPIs!B21="","",KPIs!B21)</f>
        <v/>
      </c>
      <c r="C23" s="16">
        <f>IF($B23="","",INDEX(KPIs!C:C,MATCH($B23,KPIs!B:B,0)))</f>
        <v/>
      </c>
      <c r="D23" s="17">
        <f>IF($B23="","",SUMIFS('Time Entries'!J:J,'Time Entries'!N:N,$B23,'Time Entries'!A:A,"&gt;="&amp;$J$2,'Time Entries'!A:A,"&lt;="&amp;$K$2))</f>
        <v/>
      </c>
      <c r="E23" s="17">
        <f>IF($B23="","",INDEX(KPIs!F:F,MATCH($B23,KPIs!B:B,0)))</f>
        <v/>
      </c>
      <c r="F23" s="22">
        <f>IF(OR($B23="",E23=0),"",D23/E23*100)</f>
        <v/>
      </c>
      <c r="G23" s="16">
        <f>IF($B23="","",INDEX(KPIs!G:G,MATCH($B23,KPIs!B:B,0)))</f>
        <v/>
      </c>
      <c r="H23" s="23">
        <f>IF($B23="","",INDEX(KPIs!H:H,MATCH($B23,KPIs!B:B,0)))</f>
        <v/>
      </c>
    </row>
    <row r="24">
      <c r="A24" s="18">
        <f>IF(KPIs!A22="","",KPIs!A22)</f>
        <v/>
      </c>
      <c r="B24" s="18">
        <f>IF(KPIs!B22="","",KPIs!B22)</f>
        <v/>
      </c>
      <c r="C24" s="16">
        <f>IF($B24="","",INDEX(KPIs!C:C,MATCH($B24,KPIs!B:B,0)))</f>
        <v/>
      </c>
      <c r="D24" s="17">
        <f>IF($B24="","",SUMIFS('Time Entries'!J:J,'Time Entries'!N:N,$B24,'Time Entries'!A:A,"&gt;="&amp;$J$2,'Time Entries'!A:A,"&lt;="&amp;$K$2))</f>
        <v/>
      </c>
      <c r="E24" s="17">
        <f>IF($B24="","",INDEX(KPIs!F:F,MATCH($B24,KPIs!B:B,0)))</f>
        <v/>
      </c>
      <c r="F24" s="22">
        <f>IF(OR($B24="",E24=0),"",D24/E24*100)</f>
        <v/>
      </c>
      <c r="G24" s="16">
        <f>IF($B24="","",INDEX(KPIs!G:G,MATCH($B24,KPIs!B:B,0)))</f>
        <v/>
      </c>
      <c r="H24" s="23">
        <f>IF($B24="","",INDEX(KPIs!H:H,MATCH($B24,KPIs!B:B,0)))</f>
        <v/>
      </c>
    </row>
    <row r="25">
      <c r="A25" s="18">
        <f>IF(KPIs!A23="","",KPIs!A23)</f>
        <v/>
      </c>
      <c r="B25" s="18">
        <f>IF(KPIs!B23="","",KPIs!B23)</f>
        <v/>
      </c>
      <c r="C25" s="16">
        <f>IF($B25="","",INDEX(KPIs!C:C,MATCH($B25,KPIs!B:B,0)))</f>
        <v/>
      </c>
      <c r="D25" s="17">
        <f>IF($B25="","",SUMIFS('Time Entries'!J:J,'Time Entries'!N:N,$B25,'Time Entries'!A:A,"&gt;="&amp;$J$2,'Time Entries'!A:A,"&lt;="&amp;$K$2))</f>
        <v/>
      </c>
      <c r="E25" s="17">
        <f>IF($B25="","",INDEX(KPIs!F:F,MATCH($B25,KPIs!B:B,0)))</f>
        <v/>
      </c>
      <c r="F25" s="22">
        <f>IF(OR($B25="",E25=0),"",D25/E25*100)</f>
        <v/>
      </c>
      <c r="G25" s="16">
        <f>IF($B25="","",INDEX(KPIs!G:G,MATCH($B25,KPIs!B:B,0)))</f>
        <v/>
      </c>
      <c r="H25" s="23">
        <f>IF($B25="","",INDEX(KPIs!H:H,MATCH($B25,KPIs!B:B,0)))</f>
        <v/>
      </c>
    </row>
    <row r="26">
      <c r="A26" s="18">
        <f>IF(KPIs!A24="","",KPIs!A24)</f>
        <v/>
      </c>
      <c r="B26" s="18">
        <f>IF(KPIs!B24="","",KPIs!B24)</f>
        <v/>
      </c>
      <c r="C26" s="16">
        <f>IF($B26="","",INDEX(KPIs!C:C,MATCH($B26,KPIs!B:B,0)))</f>
        <v/>
      </c>
      <c r="D26" s="17">
        <f>IF($B26="","",SUMIFS('Time Entries'!J:J,'Time Entries'!N:N,$B26,'Time Entries'!A:A,"&gt;="&amp;$J$2,'Time Entries'!A:A,"&lt;="&amp;$K$2))</f>
        <v/>
      </c>
      <c r="E26" s="17">
        <f>IF($B26="","",INDEX(KPIs!F:F,MATCH($B26,KPIs!B:B,0)))</f>
        <v/>
      </c>
      <c r="F26" s="22">
        <f>IF(OR($B26="",E26=0),"",D26/E26*100)</f>
        <v/>
      </c>
      <c r="G26" s="16">
        <f>IF($B26="","",INDEX(KPIs!G:G,MATCH($B26,KPIs!B:B,0)))</f>
        <v/>
      </c>
      <c r="H26" s="23">
        <f>IF($B26="","",INDEX(KPIs!H:H,MATCH($B26,KPIs!B:B,0)))</f>
        <v/>
      </c>
    </row>
    <row r="27">
      <c r="A27" s="18">
        <f>IF(KPIs!A25="","",KPIs!A25)</f>
        <v/>
      </c>
      <c r="B27" s="18">
        <f>IF(KPIs!B25="","",KPIs!B25)</f>
        <v/>
      </c>
      <c r="C27" s="16">
        <f>IF($B27="","",INDEX(KPIs!C:C,MATCH($B27,KPIs!B:B,0)))</f>
        <v/>
      </c>
      <c r="D27" s="17">
        <f>IF($B27="","",SUMIFS('Time Entries'!J:J,'Time Entries'!N:N,$B27,'Time Entries'!A:A,"&gt;="&amp;$J$2,'Time Entries'!A:A,"&lt;="&amp;$K$2))</f>
        <v/>
      </c>
      <c r="E27" s="17">
        <f>IF($B27="","",INDEX(KPIs!F:F,MATCH($B27,KPIs!B:B,0)))</f>
        <v/>
      </c>
      <c r="F27" s="22">
        <f>IF(OR($B27="",E27=0),"",D27/E27*100)</f>
        <v/>
      </c>
      <c r="G27" s="16">
        <f>IF($B27="","",INDEX(KPIs!G:G,MATCH($B27,KPIs!B:B,0)))</f>
        <v/>
      </c>
      <c r="H27" s="23">
        <f>IF($B27="","",INDEX(KPIs!H:H,MATCH($B27,KPIs!B:B,0)))</f>
        <v/>
      </c>
    </row>
    <row r="28">
      <c r="A28" s="18">
        <f>IF(KPIs!A26="","",KPIs!A26)</f>
        <v/>
      </c>
      <c r="B28" s="18">
        <f>IF(KPIs!B26="","",KPIs!B26)</f>
        <v/>
      </c>
      <c r="C28" s="16">
        <f>IF($B28="","",INDEX(KPIs!C:C,MATCH($B28,KPIs!B:B,0)))</f>
        <v/>
      </c>
      <c r="D28" s="17">
        <f>IF($B28="","",SUMIFS('Time Entries'!J:J,'Time Entries'!N:N,$B28,'Time Entries'!A:A,"&gt;="&amp;$J$2,'Time Entries'!A:A,"&lt;="&amp;$K$2))</f>
        <v/>
      </c>
      <c r="E28" s="17">
        <f>IF($B28="","",INDEX(KPIs!F:F,MATCH($B28,KPIs!B:B,0)))</f>
        <v/>
      </c>
      <c r="F28" s="22">
        <f>IF(OR($B28="",E28=0),"",D28/E28*100)</f>
        <v/>
      </c>
      <c r="G28" s="16">
        <f>IF($B28="","",INDEX(KPIs!G:G,MATCH($B28,KPIs!B:B,0)))</f>
        <v/>
      </c>
      <c r="H28" s="23">
        <f>IF($B28="","",INDEX(KPIs!H:H,MATCH($B28,KPIs!B:B,0)))</f>
        <v/>
      </c>
    </row>
    <row r="29">
      <c r="A29" s="18">
        <f>IF(KPIs!A27="","",KPIs!A27)</f>
        <v/>
      </c>
      <c r="B29" s="18">
        <f>IF(KPIs!B27="","",KPIs!B27)</f>
        <v/>
      </c>
      <c r="C29" s="16">
        <f>IF($B29="","",INDEX(KPIs!C:C,MATCH($B29,KPIs!B:B,0)))</f>
        <v/>
      </c>
      <c r="D29" s="17">
        <f>IF($B29="","",SUMIFS('Time Entries'!J:J,'Time Entries'!N:N,$B29,'Time Entries'!A:A,"&gt;="&amp;$J$2,'Time Entries'!A:A,"&lt;="&amp;$K$2))</f>
        <v/>
      </c>
      <c r="E29" s="17">
        <f>IF($B29="","",INDEX(KPIs!F:F,MATCH($B29,KPIs!B:B,0)))</f>
        <v/>
      </c>
      <c r="F29" s="22">
        <f>IF(OR($B29="",E29=0),"",D29/E29*100)</f>
        <v/>
      </c>
      <c r="G29" s="16">
        <f>IF($B29="","",INDEX(KPIs!G:G,MATCH($B29,KPIs!B:B,0)))</f>
        <v/>
      </c>
      <c r="H29" s="23">
        <f>IF($B29="","",INDEX(KPIs!H:H,MATCH($B29,KPIs!B:B,0)))</f>
        <v/>
      </c>
    </row>
    <row r="30">
      <c r="A30" s="18">
        <f>IF(KPIs!A28="","",KPIs!A28)</f>
        <v/>
      </c>
      <c r="B30" s="18">
        <f>IF(KPIs!B28="","",KPIs!B28)</f>
        <v/>
      </c>
      <c r="C30" s="16">
        <f>IF($B30="","",INDEX(KPIs!C:C,MATCH($B30,KPIs!B:B,0)))</f>
        <v/>
      </c>
      <c r="D30" s="17">
        <f>IF($B30="","",SUMIFS('Time Entries'!J:J,'Time Entries'!N:N,$B30,'Time Entries'!A:A,"&gt;="&amp;$J$2,'Time Entries'!A:A,"&lt;="&amp;$K$2))</f>
        <v/>
      </c>
      <c r="E30" s="17">
        <f>IF($B30="","",INDEX(KPIs!F:F,MATCH($B30,KPIs!B:B,0)))</f>
        <v/>
      </c>
      <c r="F30" s="22">
        <f>IF(OR($B30="",E30=0),"",D30/E30*100)</f>
        <v/>
      </c>
      <c r="G30" s="16">
        <f>IF($B30="","",INDEX(KPIs!G:G,MATCH($B30,KPIs!B:B,0)))</f>
        <v/>
      </c>
      <c r="H30" s="23">
        <f>IF($B30="","",INDEX(KPIs!H:H,MATCH($B30,KPIs!B:B,0)))</f>
        <v/>
      </c>
    </row>
    <row r="31">
      <c r="A31" s="18">
        <f>IF(KPIs!A29="","",KPIs!A29)</f>
        <v/>
      </c>
      <c r="B31" s="18">
        <f>IF(KPIs!B29="","",KPIs!B29)</f>
        <v/>
      </c>
      <c r="C31" s="16">
        <f>IF($B31="","",INDEX(KPIs!C:C,MATCH($B31,KPIs!B:B,0)))</f>
        <v/>
      </c>
      <c r="D31" s="17">
        <f>IF($B31="","",SUMIFS('Time Entries'!J:J,'Time Entries'!N:N,$B31,'Time Entries'!A:A,"&gt;="&amp;$J$2,'Time Entries'!A:A,"&lt;="&amp;$K$2))</f>
        <v/>
      </c>
      <c r="E31" s="17">
        <f>IF($B31="","",INDEX(KPIs!F:F,MATCH($B31,KPIs!B:B,0)))</f>
        <v/>
      </c>
      <c r="F31" s="22">
        <f>IF(OR($B31="",E31=0),"",D31/E31*100)</f>
        <v/>
      </c>
      <c r="G31" s="16">
        <f>IF($B31="","",INDEX(KPIs!G:G,MATCH($B31,KPIs!B:B,0)))</f>
        <v/>
      </c>
      <c r="H31" s="23">
        <f>IF($B31="","",INDEX(KPIs!H:H,MATCH($B31,KPIs!B:B,0)))</f>
        <v/>
      </c>
    </row>
    <row r="32">
      <c r="A32" s="18">
        <f>IF(KPIs!A30="","",KPIs!A30)</f>
        <v/>
      </c>
      <c r="B32" s="18">
        <f>IF(KPIs!B30="","",KPIs!B30)</f>
        <v/>
      </c>
      <c r="C32" s="16">
        <f>IF($B32="","",INDEX(KPIs!C:C,MATCH($B32,KPIs!B:B,0)))</f>
        <v/>
      </c>
      <c r="D32" s="17">
        <f>IF($B32="","",SUMIFS('Time Entries'!J:J,'Time Entries'!N:N,$B32,'Time Entries'!A:A,"&gt;="&amp;$J$2,'Time Entries'!A:A,"&lt;="&amp;$K$2))</f>
        <v/>
      </c>
      <c r="E32" s="17">
        <f>IF($B32="","",INDEX(KPIs!F:F,MATCH($B32,KPIs!B:B,0)))</f>
        <v/>
      </c>
      <c r="F32" s="22">
        <f>IF(OR($B32="",E32=0),"",D32/E32*100)</f>
        <v/>
      </c>
      <c r="G32" s="16">
        <f>IF($B32="","",INDEX(KPIs!G:G,MATCH($B32,KPIs!B:B,0)))</f>
        <v/>
      </c>
      <c r="H32" s="23">
        <f>IF($B32="","",INDEX(KPIs!H:H,MATCH($B32,KPIs!B:B,0)))</f>
        <v/>
      </c>
    </row>
    <row r="33">
      <c r="A33" s="18">
        <f>IF(KPIs!A31="","",KPIs!A31)</f>
        <v/>
      </c>
      <c r="B33" s="18">
        <f>IF(KPIs!B31="","",KPIs!B31)</f>
        <v/>
      </c>
      <c r="C33" s="16">
        <f>IF($B33="","",INDEX(KPIs!C:C,MATCH($B33,KPIs!B:B,0)))</f>
        <v/>
      </c>
      <c r="D33" s="17">
        <f>IF($B33="","",SUMIFS('Time Entries'!J:J,'Time Entries'!N:N,$B33,'Time Entries'!A:A,"&gt;="&amp;$J$2,'Time Entries'!A:A,"&lt;="&amp;$K$2))</f>
        <v/>
      </c>
      <c r="E33" s="17">
        <f>IF($B33="","",INDEX(KPIs!F:F,MATCH($B33,KPIs!B:B,0)))</f>
        <v/>
      </c>
      <c r="F33" s="22">
        <f>IF(OR($B33="",E33=0),"",D33/E33*100)</f>
        <v/>
      </c>
      <c r="G33" s="16">
        <f>IF($B33="","",INDEX(KPIs!G:G,MATCH($B33,KPIs!B:B,0)))</f>
        <v/>
      </c>
      <c r="H33" s="23">
        <f>IF($B33="","",INDEX(KPIs!H:H,MATCH($B33,KPIs!B:B,0)))</f>
        <v/>
      </c>
    </row>
    <row r="34">
      <c r="A34" s="18">
        <f>IF(KPIs!A32="","",KPIs!A32)</f>
        <v/>
      </c>
      <c r="B34" s="18">
        <f>IF(KPIs!B32="","",KPIs!B32)</f>
        <v/>
      </c>
      <c r="C34" s="16">
        <f>IF($B34="","",INDEX(KPIs!C:C,MATCH($B34,KPIs!B:B,0)))</f>
        <v/>
      </c>
      <c r="D34" s="17">
        <f>IF($B34="","",SUMIFS('Time Entries'!J:J,'Time Entries'!N:N,$B34,'Time Entries'!A:A,"&gt;="&amp;$J$2,'Time Entries'!A:A,"&lt;="&amp;$K$2))</f>
        <v/>
      </c>
      <c r="E34" s="17">
        <f>IF($B34="","",INDEX(KPIs!F:F,MATCH($B34,KPIs!B:B,0)))</f>
        <v/>
      </c>
      <c r="F34" s="22">
        <f>IF(OR($B34="",E34=0),"",D34/E34*100)</f>
        <v/>
      </c>
      <c r="G34" s="16">
        <f>IF($B34="","",INDEX(KPIs!G:G,MATCH($B34,KPIs!B:B,0)))</f>
        <v/>
      </c>
      <c r="H34" s="23">
        <f>IF($B34="","",INDEX(KPIs!H:H,MATCH($B34,KPIs!B:B,0)))</f>
        <v/>
      </c>
    </row>
    <row r="35">
      <c r="A35" s="18">
        <f>IF(KPIs!A33="","",KPIs!A33)</f>
        <v/>
      </c>
      <c r="B35" s="18">
        <f>IF(KPIs!B33="","",KPIs!B33)</f>
        <v/>
      </c>
      <c r="C35" s="16">
        <f>IF($B35="","",INDEX(KPIs!C:C,MATCH($B35,KPIs!B:B,0)))</f>
        <v/>
      </c>
      <c r="D35" s="17">
        <f>IF($B35="","",SUMIFS('Time Entries'!J:J,'Time Entries'!N:N,$B35,'Time Entries'!A:A,"&gt;="&amp;$J$2,'Time Entries'!A:A,"&lt;="&amp;$K$2))</f>
        <v/>
      </c>
      <c r="E35" s="17">
        <f>IF($B35="","",INDEX(KPIs!F:F,MATCH($B35,KPIs!B:B,0)))</f>
        <v/>
      </c>
      <c r="F35" s="22">
        <f>IF(OR($B35="",E35=0),"",D35/E35*100)</f>
        <v/>
      </c>
      <c r="G35" s="16">
        <f>IF($B35="","",INDEX(KPIs!G:G,MATCH($B35,KPIs!B:B,0)))</f>
        <v/>
      </c>
      <c r="H35" s="23">
        <f>IF($B35="","",INDEX(KPIs!H:H,MATCH($B35,KPIs!B:B,0)))</f>
        <v/>
      </c>
    </row>
    <row r="36">
      <c r="A36" s="18">
        <f>IF(KPIs!A34="","",KPIs!A34)</f>
        <v/>
      </c>
      <c r="B36" s="18">
        <f>IF(KPIs!B34="","",KPIs!B34)</f>
        <v/>
      </c>
      <c r="C36" s="16">
        <f>IF($B36="","",INDEX(KPIs!C:C,MATCH($B36,KPIs!B:B,0)))</f>
        <v/>
      </c>
      <c r="D36" s="17">
        <f>IF($B36="","",SUMIFS('Time Entries'!J:J,'Time Entries'!N:N,$B36,'Time Entries'!A:A,"&gt;="&amp;$J$2,'Time Entries'!A:A,"&lt;="&amp;$K$2))</f>
        <v/>
      </c>
      <c r="E36" s="17">
        <f>IF($B36="","",INDEX(KPIs!F:F,MATCH($B36,KPIs!B:B,0)))</f>
        <v/>
      </c>
      <c r="F36" s="22">
        <f>IF(OR($B36="",E36=0),"",D36/E36*100)</f>
        <v/>
      </c>
      <c r="G36" s="16">
        <f>IF($B36="","",INDEX(KPIs!G:G,MATCH($B36,KPIs!B:B,0)))</f>
        <v/>
      </c>
      <c r="H36" s="23">
        <f>IF($B36="","",INDEX(KPIs!H:H,MATCH($B36,KPIs!B:B,0)))</f>
        <v/>
      </c>
    </row>
    <row r="37">
      <c r="A37" s="18">
        <f>IF(KPIs!A35="","",KPIs!A35)</f>
        <v/>
      </c>
      <c r="B37" s="18">
        <f>IF(KPIs!B35="","",KPIs!B35)</f>
        <v/>
      </c>
      <c r="C37" s="16">
        <f>IF($B37="","",INDEX(KPIs!C:C,MATCH($B37,KPIs!B:B,0)))</f>
        <v/>
      </c>
      <c r="D37" s="17">
        <f>IF($B37="","",SUMIFS('Time Entries'!J:J,'Time Entries'!N:N,$B37,'Time Entries'!A:A,"&gt;="&amp;$J$2,'Time Entries'!A:A,"&lt;="&amp;$K$2))</f>
        <v/>
      </c>
      <c r="E37" s="17">
        <f>IF($B37="","",INDEX(KPIs!F:F,MATCH($B37,KPIs!B:B,0)))</f>
        <v/>
      </c>
      <c r="F37" s="22">
        <f>IF(OR($B37="",E37=0),"",D37/E37*100)</f>
        <v/>
      </c>
      <c r="G37" s="16">
        <f>IF($B37="","",INDEX(KPIs!G:G,MATCH($B37,KPIs!B:B,0)))</f>
        <v/>
      </c>
      <c r="H37" s="23">
        <f>IF($B37="","",INDEX(KPIs!H:H,MATCH($B37,KPIs!B:B,0)))</f>
        <v/>
      </c>
    </row>
    <row r="38">
      <c r="A38" s="18">
        <f>IF(KPIs!A36="","",KPIs!A36)</f>
        <v/>
      </c>
      <c r="B38" s="18">
        <f>IF(KPIs!B36="","",KPIs!B36)</f>
        <v/>
      </c>
      <c r="C38" s="16">
        <f>IF($B38="","",INDEX(KPIs!C:C,MATCH($B38,KPIs!B:B,0)))</f>
        <v/>
      </c>
      <c r="D38" s="17">
        <f>IF($B38="","",SUMIFS('Time Entries'!J:J,'Time Entries'!N:N,$B38,'Time Entries'!A:A,"&gt;="&amp;$J$2,'Time Entries'!A:A,"&lt;="&amp;$K$2))</f>
        <v/>
      </c>
      <c r="E38" s="17">
        <f>IF($B38="","",INDEX(KPIs!F:F,MATCH($B38,KPIs!B:B,0)))</f>
        <v/>
      </c>
      <c r="F38" s="22">
        <f>IF(OR($B38="",E38=0),"",D38/E38*100)</f>
        <v/>
      </c>
      <c r="G38" s="16">
        <f>IF($B38="","",INDEX(KPIs!G:G,MATCH($B38,KPIs!B:B,0)))</f>
        <v/>
      </c>
      <c r="H38" s="23">
        <f>IF($B38="","",INDEX(KPIs!H:H,MATCH($B38,KPIs!B:B,0)))</f>
        <v/>
      </c>
    </row>
    <row r="39">
      <c r="A39" s="18">
        <f>IF(KPIs!A37="","",KPIs!A37)</f>
        <v/>
      </c>
      <c r="B39" s="18">
        <f>IF(KPIs!B37="","",KPIs!B37)</f>
        <v/>
      </c>
      <c r="C39" s="16">
        <f>IF($B39="","",INDEX(KPIs!C:C,MATCH($B39,KPIs!B:B,0)))</f>
        <v/>
      </c>
      <c r="D39" s="17">
        <f>IF($B39="","",SUMIFS('Time Entries'!J:J,'Time Entries'!N:N,$B39,'Time Entries'!A:A,"&gt;="&amp;$J$2,'Time Entries'!A:A,"&lt;="&amp;$K$2))</f>
        <v/>
      </c>
      <c r="E39" s="17">
        <f>IF($B39="","",INDEX(KPIs!F:F,MATCH($B39,KPIs!B:B,0)))</f>
        <v/>
      </c>
      <c r="F39" s="22">
        <f>IF(OR($B39="",E39=0),"",D39/E39*100)</f>
        <v/>
      </c>
      <c r="G39" s="16">
        <f>IF($B39="","",INDEX(KPIs!G:G,MATCH($B39,KPIs!B:B,0)))</f>
        <v/>
      </c>
      <c r="H39" s="23">
        <f>IF($B39="","",INDEX(KPIs!H:H,MATCH($B39,KPIs!B:B,0)))</f>
        <v/>
      </c>
    </row>
    <row r="40">
      <c r="A40" s="18">
        <f>IF(KPIs!A38="","",KPIs!A38)</f>
        <v/>
      </c>
      <c r="B40" s="18">
        <f>IF(KPIs!B38="","",KPIs!B38)</f>
        <v/>
      </c>
      <c r="C40" s="16">
        <f>IF($B40="","",INDEX(KPIs!C:C,MATCH($B40,KPIs!B:B,0)))</f>
        <v/>
      </c>
      <c r="D40" s="17">
        <f>IF($B40="","",SUMIFS('Time Entries'!J:J,'Time Entries'!N:N,$B40,'Time Entries'!A:A,"&gt;="&amp;$J$2,'Time Entries'!A:A,"&lt;="&amp;$K$2))</f>
        <v/>
      </c>
      <c r="E40" s="17">
        <f>IF($B40="","",INDEX(KPIs!F:F,MATCH($B40,KPIs!B:B,0)))</f>
        <v/>
      </c>
      <c r="F40" s="22">
        <f>IF(OR($B40="",E40=0),"",D40/E40*100)</f>
        <v/>
      </c>
      <c r="G40" s="16">
        <f>IF($B40="","",INDEX(KPIs!G:G,MATCH($B40,KPIs!B:B,0)))</f>
        <v/>
      </c>
      <c r="H40" s="23">
        <f>IF($B40="","",INDEX(KPIs!H:H,MATCH($B40,KPIs!B:B,0)))</f>
        <v/>
      </c>
    </row>
    <row r="41">
      <c r="A41" s="18">
        <f>IF(KPIs!A39="","",KPIs!A39)</f>
        <v/>
      </c>
      <c r="B41" s="18">
        <f>IF(KPIs!B39="","",KPIs!B39)</f>
        <v/>
      </c>
      <c r="C41" s="16">
        <f>IF($B41="","",INDEX(KPIs!C:C,MATCH($B41,KPIs!B:B,0)))</f>
        <v/>
      </c>
      <c r="D41" s="17">
        <f>IF($B41="","",SUMIFS('Time Entries'!J:J,'Time Entries'!N:N,$B41,'Time Entries'!A:A,"&gt;="&amp;$J$2,'Time Entries'!A:A,"&lt;="&amp;$K$2))</f>
        <v/>
      </c>
      <c r="E41" s="17">
        <f>IF($B41="","",INDEX(KPIs!F:F,MATCH($B41,KPIs!B:B,0)))</f>
        <v/>
      </c>
      <c r="F41" s="22">
        <f>IF(OR($B41="",E41=0),"",D41/E41*100)</f>
        <v/>
      </c>
      <c r="G41" s="16">
        <f>IF($B41="","",INDEX(KPIs!G:G,MATCH($B41,KPIs!B:B,0)))</f>
        <v/>
      </c>
      <c r="H41" s="23">
        <f>IF($B41="","",INDEX(KPIs!H:H,MATCH($B41,KPIs!B:B,0)))</f>
        <v/>
      </c>
    </row>
    <row r="42">
      <c r="A42" s="18">
        <f>IF(KPIs!A40="","",KPIs!A40)</f>
        <v/>
      </c>
      <c r="B42" s="18">
        <f>IF(KPIs!B40="","",KPIs!B40)</f>
        <v/>
      </c>
      <c r="C42" s="16">
        <f>IF($B42="","",INDEX(KPIs!C:C,MATCH($B42,KPIs!B:B,0)))</f>
        <v/>
      </c>
      <c r="D42" s="17">
        <f>IF($B42="","",SUMIFS('Time Entries'!J:J,'Time Entries'!N:N,$B42,'Time Entries'!A:A,"&gt;="&amp;$J$2,'Time Entries'!A:A,"&lt;="&amp;$K$2))</f>
        <v/>
      </c>
      <c r="E42" s="17">
        <f>IF($B42="","",INDEX(KPIs!F:F,MATCH($B42,KPIs!B:B,0)))</f>
        <v/>
      </c>
      <c r="F42" s="22">
        <f>IF(OR($B42="",E42=0),"",D42/E42*100)</f>
        <v/>
      </c>
      <c r="G42" s="16">
        <f>IF($B42="","",INDEX(KPIs!G:G,MATCH($B42,KPIs!B:B,0)))</f>
        <v/>
      </c>
      <c r="H42" s="23">
        <f>IF($B42="","",INDEX(KPIs!H:H,MATCH($B42,KPIs!B:B,0)))</f>
        <v/>
      </c>
    </row>
    <row r="43">
      <c r="A43" s="18">
        <f>IF(KPIs!A41="","",KPIs!A41)</f>
        <v/>
      </c>
      <c r="B43" s="18">
        <f>IF(KPIs!B41="","",KPIs!B41)</f>
        <v/>
      </c>
      <c r="C43" s="16">
        <f>IF($B43="","",INDEX(KPIs!C:C,MATCH($B43,KPIs!B:B,0)))</f>
        <v/>
      </c>
      <c r="D43" s="17">
        <f>IF($B43="","",SUMIFS('Time Entries'!J:J,'Time Entries'!N:N,$B43,'Time Entries'!A:A,"&gt;="&amp;$J$2,'Time Entries'!A:A,"&lt;="&amp;$K$2))</f>
        <v/>
      </c>
      <c r="E43" s="17">
        <f>IF($B43="","",INDEX(KPIs!F:F,MATCH($B43,KPIs!B:B,0)))</f>
        <v/>
      </c>
      <c r="F43" s="22">
        <f>IF(OR($B43="",E43=0),"",D43/E43*100)</f>
        <v/>
      </c>
      <c r="G43" s="16">
        <f>IF($B43="","",INDEX(KPIs!G:G,MATCH($B43,KPIs!B:B,0)))</f>
        <v/>
      </c>
      <c r="H43" s="23">
        <f>IF($B43="","",INDEX(KPIs!H:H,MATCH($B43,KPIs!B:B,0)))</f>
        <v/>
      </c>
    </row>
    <row r="44">
      <c r="A44" s="18">
        <f>IF(KPIs!A42="","",KPIs!A42)</f>
        <v/>
      </c>
      <c r="B44" s="18">
        <f>IF(KPIs!B42="","",KPIs!B42)</f>
        <v/>
      </c>
      <c r="C44" s="16">
        <f>IF($B44="","",INDEX(KPIs!C:C,MATCH($B44,KPIs!B:B,0)))</f>
        <v/>
      </c>
      <c r="D44" s="17">
        <f>IF($B44="","",SUMIFS('Time Entries'!J:J,'Time Entries'!N:N,$B44,'Time Entries'!A:A,"&gt;="&amp;$J$2,'Time Entries'!A:A,"&lt;="&amp;$K$2))</f>
        <v/>
      </c>
      <c r="E44" s="17">
        <f>IF($B44="","",INDEX(KPIs!F:F,MATCH($B44,KPIs!B:B,0)))</f>
        <v/>
      </c>
      <c r="F44" s="22">
        <f>IF(OR($B44="",E44=0),"",D44/E44*100)</f>
        <v/>
      </c>
      <c r="G44" s="16">
        <f>IF($B44="","",INDEX(KPIs!G:G,MATCH($B44,KPIs!B:B,0)))</f>
        <v/>
      </c>
      <c r="H44" s="23">
        <f>IF($B44="","",INDEX(KPIs!H:H,MATCH($B44,KPIs!B:B,0)))</f>
        <v/>
      </c>
    </row>
    <row r="45">
      <c r="A45" s="18">
        <f>IF(KPIs!A43="","",KPIs!A43)</f>
        <v/>
      </c>
      <c r="B45" s="18">
        <f>IF(KPIs!B43="","",KPIs!B43)</f>
        <v/>
      </c>
      <c r="C45" s="16">
        <f>IF($B45="","",INDEX(KPIs!C:C,MATCH($B45,KPIs!B:B,0)))</f>
        <v/>
      </c>
      <c r="D45" s="17">
        <f>IF($B45="","",SUMIFS('Time Entries'!J:J,'Time Entries'!N:N,$B45,'Time Entries'!A:A,"&gt;="&amp;$J$2,'Time Entries'!A:A,"&lt;="&amp;$K$2))</f>
        <v/>
      </c>
      <c r="E45" s="17">
        <f>IF($B45="","",INDEX(KPIs!F:F,MATCH($B45,KPIs!B:B,0)))</f>
        <v/>
      </c>
      <c r="F45" s="22">
        <f>IF(OR($B45="",E45=0),"",D45/E45*100)</f>
        <v/>
      </c>
      <c r="G45" s="16">
        <f>IF($B45="","",INDEX(KPIs!G:G,MATCH($B45,KPIs!B:B,0)))</f>
        <v/>
      </c>
      <c r="H45" s="23">
        <f>IF($B45="","",INDEX(KPIs!H:H,MATCH($B45,KPIs!B:B,0)))</f>
        <v/>
      </c>
    </row>
    <row r="46">
      <c r="A46" s="18">
        <f>IF(KPIs!A44="","",KPIs!A44)</f>
        <v/>
      </c>
      <c r="B46" s="18">
        <f>IF(KPIs!B44="","",KPIs!B44)</f>
        <v/>
      </c>
      <c r="C46" s="16">
        <f>IF($B46="","",INDEX(KPIs!C:C,MATCH($B46,KPIs!B:B,0)))</f>
        <v/>
      </c>
      <c r="D46" s="17">
        <f>IF($B46="","",SUMIFS('Time Entries'!J:J,'Time Entries'!N:N,$B46,'Time Entries'!A:A,"&gt;="&amp;$J$2,'Time Entries'!A:A,"&lt;="&amp;$K$2))</f>
        <v/>
      </c>
      <c r="E46" s="17">
        <f>IF($B46="","",INDEX(KPIs!F:F,MATCH($B46,KPIs!B:B,0)))</f>
        <v/>
      </c>
      <c r="F46" s="22">
        <f>IF(OR($B46="",E46=0),"",D46/E46*100)</f>
        <v/>
      </c>
      <c r="G46" s="16">
        <f>IF($B46="","",INDEX(KPIs!G:G,MATCH($B46,KPIs!B:B,0)))</f>
        <v/>
      </c>
      <c r="H46" s="23">
        <f>IF($B46="","",INDEX(KPIs!H:H,MATCH($B46,KPIs!B:B,0)))</f>
        <v/>
      </c>
    </row>
    <row r="47">
      <c r="A47" s="18">
        <f>IF(KPIs!A45="","",KPIs!A45)</f>
        <v/>
      </c>
      <c r="B47" s="18">
        <f>IF(KPIs!B45="","",KPIs!B45)</f>
        <v/>
      </c>
      <c r="C47" s="16">
        <f>IF($B47="","",INDEX(KPIs!C:C,MATCH($B47,KPIs!B:B,0)))</f>
        <v/>
      </c>
      <c r="D47" s="17">
        <f>IF($B47="","",SUMIFS('Time Entries'!J:J,'Time Entries'!N:N,$B47,'Time Entries'!A:A,"&gt;="&amp;$J$2,'Time Entries'!A:A,"&lt;="&amp;$K$2))</f>
        <v/>
      </c>
      <c r="E47" s="17">
        <f>IF($B47="","",INDEX(KPIs!F:F,MATCH($B47,KPIs!B:B,0)))</f>
        <v/>
      </c>
      <c r="F47" s="22">
        <f>IF(OR($B47="",E47=0),"",D47/E47*100)</f>
        <v/>
      </c>
      <c r="G47" s="16">
        <f>IF($B47="","",INDEX(KPIs!G:G,MATCH($B47,KPIs!B:B,0)))</f>
        <v/>
      </c>
      <c r="H47" s="23">
        <f>IF($B47="","",INDEX(KPIs!H:H,MATCH($B47,KPIs!B:B,0)))</f>
        <v/>
      </c>
    </row>
    <row r="48">
      <c r="A48" s="18">
        <f>IF(KPIs!A46="","",KPIs!A46)</f>
        <v/>
      </c>
      <c r="B48" s="18">
        <f>IF(KPIs!B46="","",KPIs!B46)</f>
        <v/>
      </c>
      <c r="C48" s="16">
        <f>IF($B48="","",INDEX(KPIs!C:C,MATCH($B48,KPIs!B:B,0)))</f>
        <v/>
      </c>
      <c r="D48" s="17">
        <f>IF($B48="","",SUMIFS('Time Entries'!J:J,'Time Entries'!N:N,$B48,'Time Entries'!A:A,"&gt;="&amp;$J$2,'Time Entries'!A:A,"&lt;="&amp;$K$2))</f>
        <v/>
      </c>
      <c r="E48" s="17">
        <f>IF($B48="","",INDEX(KPIs!F:F,MATCH($B48,KPIs!B:B,0)))</f>
        <v/>
      </c>
      <c r="F48" s="22">
        <f>IF(OR($B48="",E48=0),"",D48/E48*100)</f>
        <v/>
      </c>
      <c r="G48" s="16">
        <f>IF($B48="","",INDEX(KPIs!G:G,MATCH($B48,KPIs!B:B,0)))</f>
        <v/>
      </c>
      <c r="H48" s="23">
        <f>IF($B48="","",INDEX(KPIs!H:H,MATCH($B48,KPIs!B:B,0)))</f>
        <v/>
      </c>
    </row>
    <row r="49">
      <c r="A49" s="18">
        <f>IF(KPIs!A47="","",KPIs!A47)</f>
        <v/>
      </c>
      <c r="B49" s="18">
        <f>IF(KPIs!B47="","",KPIs!B47)</f>
        <v/>
      </c>
      <c r="C49" s="16">
        <f>IF($B49="","",INDEX(KPIs!C:C,MATCH($B49,KPIs!B:B,0)))</f>
        <v/>
      </c>
      <c r="D49" s="17">
        <f>IF($B49="","",SUMIFS('Time Entries'!J:J,'Time Entries'!N:N,$B49,'Time Entries'!A:A,"&gt;="&amp;$J$2,'Time Entries'!A:A,"&lt;="&amp;$K$2))</f>
        <v/>
      </c>
      <c r="E49" s="17">
        <f>IF($B49="","",INDEX(KPIs!F:F,MATCH($B49,KPIs!B:B,0)))</f>
        <v/>
      </c>
      <c r="F49" s="22">
        <f>IF(OR($B49="",E49=0),"",D49/E49*100)</f>
        <v/>
      </c>
      <c r="G49" s="16">
        <f>IF($B49="","",INDEX(KPIs!G:G,MATCH($B49,KPIs!B:B,0)))</f>
        <v/>
      </c>
      <c r="H49" s="23">
        <f>IF($B49="","",INDEX(KPIs!H:H,MATCH($B49,KPIs!B:B,0)))</f>
        <v/>
      </c>
    </row>
    <row r="50">
      <c r="A50" s="18">
        <f>IF(KPIs!A48="","",KPIs!A48)</f>
        <v/>
      </c>
      <c r="B50" s="18">
        <f>IF(KPIs!B48="","",KPIs!B48)</f>
        <v/>
      </c>
      <c r="C50" s="16">
        <f>IF($B50="","",INDEX(KPIs!C:C,MATCH($B50,KPIs!B:B,0)))</f>
        <v/>
      </c>
      <c r="D50" s="17">
        <f>IF($B50="","",SUMIFS('Time Entries'!J:J,'Time Entries'!N:N,$B50,'Time Entries'!A:A,"&gt;="&amp;$J$2,'Time Entries'!A:A,"&lt;="&amp;$K$2))</f>
        <v/>
      </c>
      <c r="E50" s="17">
        <f>IF($B50="","",INDEX(KPIs!F:F,MATCH($B50,KPIs!B:B,0)))</f>
        <v/>
      </c>
      <c r="F50" s="22">
        <f>IF(OR($B50="",E50=0),"",D50/E50*100)</f>
        <v/>
      </c>
      <c r="G50" s="16">
        <f>IF($B50="","",INDEX(KPIs!G:G,MATCH($B50,KPIs!B:B,0)))</f>
        <v/>
      </c>
      <c r="H50" s="23">
        <f>IF($B50="","",INDEX(KPIs!H:H,MATCH($B50,KPIs!B:B,0)))</f>
        <v/>
      </c>
    </row>
    <row r="51">
      <c r="A51" s="18">
        <f>IF(KPIs!A49="","",KPIs!A49)</f>
        <v/>
      </c>
      <c r="B51" s="18">
        <f>IF(KPIs!B49="","",KPIs!B49)</f>
        <v/>
      </c>
      <c r="C51" s="16">
        <f>IF($B51="","",INDEX(KPIs!C:C,MATCH($B51,KPIs!B:B,0)))</f>
        <v/>
      </c>
      <c r="D51" s="17">
        <f>IF($B51="","",SUMIFS('Time Entries'!J:J,'Time Entries'!N:N,$B51,'Time Entries'!A:A,"&gt;="&amp;$J$2,'Time Entries'!A:A,"&lt;="&amp;$K$2))</f>
        <v/>
      </c>
      <c r="E51" s="17">
        <f>IF($B51="","",INDEX(KPIs!F:F,MATCH($B51,KPIs!B:B,0)))</f>
        <v/>
      </c>
      <c r="F51" s="22">
        <f>IF(OR($B51="",E51=0),"",D51/E51*100)</f>
        <v/>
      </c>
      <c r="G51" s="16">
        <f>IF($B51="","",INDEX(KPIs!G:G,MATCH($B51,KPIs!B:B,0)))</f>
        <v/>
      </c>
      <c r="H51" s="23">
        <f>IF($B51="","",INDEX(KPIs!H:H,MATCH($B51,KPIs!B:B,0)))</f>
        <v/>
      </c>
    </row>
    <row r="52">
      <c r="A52" s="18">
        <f>IF(KPIs!A50="","",KPIs!A50)</f>
        <v/>
      </c>
      <c r="B52" s="18">
        <f>IF(KPIs!B50="","",KPIs!B50)</f>
        <v/>
      </c>
      <c r="C52" s="16">
        <f>IF($B52="","",INDEX(KPIs!C:C,MATCH($B52,KPIs!B:B,0)))</f>
        <v/>
      </c>
      <c r="D52" s="17">
        <f>IF($B52="","",SUMIFS('Time Entries'!J:J,'Time Entries'!N:N,$B52,'Time Entries'!A:A,"&gt;="&amp;$J$2,'Time Entries'!A:A,"&lt;="&amp;$K$2))</f>
        <v/>
      </c>
      <c r="E52" s="17">
        <f>IF($B52="","",INDEX(KPIs!F:F,MATCH($B52,KPIs!B:B,0)))</f>
        <v/>
      </c>
      <c r="F52" s="22">
        <f>IF(OR($B52="",E52=0),"",D52/E52*100)</f>
        <v/>
      </c>
      <c r="G52" s="16">
        <f>IF($B52="","",INDEX(KPIs!G:G,MATCH($B52,KPIs!B:B,0)))</f>
        <v/>
      </c>
      <c r="H52" s="23">
        <f>IF($B52="","",INDEX(KPIs!H:H,MATCH($B52,KPIs!B:B,0)))</f>
        <v/>
      </c>
    </row>
    <row r="53">
      <c r="A53" s="18">
        <f>IF(KPIs!A51="","",KPIs!A51)</f>
        <v/>
      </c>
      <c r="B53" s="18">
        <f>IF(KPIs!B51="","",KPIs!B51)</f>
        <v/>
      </c>
      <c r="C53" s="16">
        <f>IF($B53="","",INDEX(KPIs!C:C,MATCH($B53,KPIs!B:B,0)))</f>
        <v/>
      </c>
      <c r="D53" s="17">
        <f>IF($B53="","",SUMIFS('Time Entries'!J:J,'Time Entries'!N:N,$B53,'Time Entries'!A:A,"&gt;="&amp;$J$2,'Time Entries'!A:A,"&lt;="&amp;$K$2))</f>
        <v/>
      </c>
      <c r="E53" s="17">
        <f>IF($B53="","",INDEX(KPIs!F:F,MATCH($B53,KPIs!B:B,0)))</f>
        <v/>
      </c>
      <c r="F53" s="22">
        <f>IF(OR($B53="",E53=0),"",D53/E53*100)</f>
        <v/>
      </c>
      <c r="G53" s="16">
        <f>IF($B53="","",INDEX(KPIs!G:G,MATCH($B53,KPIs!B:B,0)))</f>
        <v/>
      </c>
      <c r="H53" s="23">
        <f>IF($B53="","",INDEX(KPIs!H:H,MATCH($B53,KPIs!B:B,0)))</f>
        <v/>
      </c>
    </row>
    <row r="55">
      <c r="A55" s="19" t="inlineStr">
        <is>
          <t>MONTHLY SUMMARY</t>
        </is>
      </c>
    </row>
    <row r="56">
      <c r="A56" s="10" t="inlineStr">
        <is>
          <t>Total Hours (all tasks):</t>
        </is>
      </c>
      <c r="B56" s="4">
        <f>SUM(D4:D53)</f>
        <v/>
      </c>
    </row>
    <row r="57">
      <c r="A57" s="10" t="inlineStr">
        <is>
          <t>Avg Performance:</t>
        </is>
      </c>
      <c r="B57" s="24">
        <f>AVERAGE(F4:F53)</f>
        <v/>
      </c>
    </row>
    <row r="58">
      <c r="A58" s="10" t="inlineStr">
        <is>
          <t>Tasks On Time:</t>
        </is>
      </c>
      <c r="B58">
        <f>COUNTIF(G4:G53,"Done")</f>
        <v/>
      </c>
    </row>
    <row r="59">
      <c r="A59" s="10" t="inlineStr">
        <is>
          <t>Tasks Late:</t>
        </is>
      </c>
      <c r="B59">
        <f>COUNTIF(G4:G53,"Late")</f>
        <v/>
      </c>
    </row>
    <row r="60">
      <c r="A60" s="10" t="inlineStr">
        <is>
          <t>Overall:</t>
        </is>
      </c>
      <c r="B60">
        <f>IF(COUNTIF(G4:G53,"Late")&gt;0,"Needs attention","All on track")</f>
        <v/>
      </c>
    </row>
  </sheetData>
  <mergeCells count="3">
    <mergeCell ref="A2:H2"/>
    <mergeCell ref="A55:H5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2026-07-27T06:54:03Z</dcterms:created>
  <dcterms:modified xsi:type="dcterms:W3CDTF">2026-08-12T07:50:44Z</dcterms:modified>
</cp:coreProperties>
</file>