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 Entrie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KPIs" sheetId="3" state="visible" r:id="rId3"/>
    <sheet xmlns:r="http://schemas.openxmlformats.org/officeDocument/2006/relationships" name="Weekly Summary" sheetId="4" state="visible" r:id="rId4"/>
    <sheet xmlns:r="http://schemas.openxmlformats.org/officeDocument/2006/relationships" name="Daily Detail" sheetId="5" state="visible" r:id="rId5"/>
    <sheet xmlns:r="http://schemas.openxmlformats.org/officeDocument/2006/relationships" name="Monthly" sheetId="6" state="visible" r:id="rId6"/>
  </sheets>
  <definedNames>
    <definedName name="_xlnm._FilterDatabase" localSheetId="0" hidden="1">'Time Entries'!$A$1:$L$501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-mm-yyyy"/>
    <numFmt numFmtId="165" formatCode="hh:mm"/>
    <numFmt numFmtId="166" formatCode="0.0"/>
    <numFmt numFmtId="167" formatCode="0.0%"/>
    <numFmt numFmtId="168" formatCode="0.0&quot;%&quot;"/>
    <numFmt numFmtId="169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999999"/>
      <sz val="11"/>
    </font>
    <font>
      <name val="Calibri"/>
      <b val="1"/>
      <i val="1"/>
      <sz val="12"/>
    </font>
    <font>
      <name val="Calibri"/>
      <b val="1"/>
      <sz val="11"/>
    </font>
    <font>
      <name val="Calibri"/>
      <b val="1"/>
      <sz val="14"/>
    </font>
    <font>
      <name val="Calibri"/>
      <sz val="12"/>
    </font>
    <font>
      <name val="Calibri"/>
      <i val="1"/>
      <color rgb="00888888"/>
      <sz val="9"/>
    </font>
    <font>
      <name val="Calibri"/>
      <i val="1"/>
      <sz val="11"/>
    </font>
    <font>
      <name val="Calibri"/>
      <sz val="11"/>
    </font>
    <font>
      <name val="Calibri"/>
      <b val="1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4" borderId="0" pivotButton="0" quotePrefix="0" xfId="0"/>
    <xf numFmtId="167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15" customWidth="1" min="3" max="3"/>
    <col width="25" customWidth="1" min="4" max="4"/>
    <col width="20" customWidth="1" min="5" max="5"/>
    <col width="15" customWidth="1" min="6" max="6"/>
    <col width="15" customWidth="1" min="7" max="7"/>
    <col width="11" customWidth="1" min="8" max="8"/>
    <col width="11" customWidth="1" min="9" max="9"/>
    <col width="12" customWidth="1" min="10" max="10"/>
    <col width="50" customWidth="1" min="11" max="11"/>
    <col width="30" customWidth="1" min="12" max="12"/>
    <col hidden="1" width="15" customWidth="1" min="13" max="13"/>
    <col hidden="1" width="25" customWidth="1" min="14" max="14"/>
    <col hidden="1" width="30" customWidth="1" min="15" max="15"/>
    <col hidden="1" width="8" customWidth="1" min="16" max="16"/>
    <col hidden="1" width="8" customWidth="1" min="17" max="17"/>
    <col hidden="1" width="8" customWidth="1" min="18" max="18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Project</t>
        </is>
      </c>
      <c r="D1" s="1" t="inlineStr">
        <is>
          <t>Father Task</t>
        </is>
      </c>
      <c r="E1" s="1" t="inlineStr">
        <is>
          <t>Sub Task</t>
        </is>
      </c>
      <c r="F1" s="1" t="inlineStr">
        <is>
          <t>Sub Task Code</t>
        </is>
      </c>
      <c r="G1" s="1" t="inlineStr">
        <is>
          <t>Category</t>
        </is>
      </c>
      <c r="H1" s="1" t="inlineStr">
        <is>
          <t>Start Time</t>
        </is>
      </c>
      <c r="I1" s="1" t="inlineStr">
        <is>
          <t>End Time</t>
        </is>
      </c>
      <c r="J1" s="1" t="inlineStr">
        <is>
          <t>Duration (h)</t>
        </is>
      </c>
      <c r="K1" s="1" t="inlineStr">
        <is>
          <t>Description</t>
        </is>
      </c>
      <c r="L1" s="1" t="inlineStr">
        <is>
          <t>Break Info</t>
        </is>
      </c>
    </row>
    <row r="2">
      <c r="A2" s="2" t="n">
        <v>46225</v>
      </c>
      <c r="B2" t="inlineStr">
        <is>
          <t>Wed</t>
        </is>
      </c>
      <c r="C2" t="inlineStr">
        <is>
          <t>Backend</t>
        </is>
      </c>
      <c r="D2" t="inlineStr">
        <is>
          <t>Benchmark update</t>
        </is>
      </c>
      <c r="E2" t="inlineStr">
        <is>
          <t>Logic Update</t>
        </is>
      </c>
      <c r="F2" t="inlineStr">
        <is>
          <t>PRJ-1-KPI-1-ST-1</t>
        </is>
      </c>
      <c r="G2" t="inlineStr">
        <is>
          <t>Dev</t>
        </is>
      </c>
      <c r="H2" s="3" t="n">
        <v>0.8157523148148148</v>
      </c>
      <c r="I2" s="3" t="n">
        <v>0.7040625</v>
      </c>
      <c r="J2" s="4">
        <f>IF(AND(H2&lt;&gt;"",I2&lt;&gt;""),(I2-H2)*24,"")</f>
        <v/>
      </c>
      <c r="K2" t="inlineStr">
        <is>
          <t>Finish all task</t>
        </is>
      </c>
      <c r="L2" t="inlineStr">
        <is>
          <t>personal(19m); lunch(95m); personal(37m); personal(474m)</t>
        </is>
      </c>
    </row>
    <row r="3">
      <c r="A3" s="2" t="n">
        <v>46226</v>
      </c>
      <c r="B3" t="inlineStr">
        <is>
          <t>Thu</t>
        </is>
      </c>
      <c r="C3" t="inlineStr">
        <is>
          <t>Backend</t>
        </is>
      </c>
      <c r="D3" t="inlineStr">
        <is>
          <t>Report</t>
        </is>
      </c>
      <c r="E3" t="inlineStr">
        <is>
          <t>Writing report for the research</t>
        </is>
      </c>
      <c r="F3" t="inlineStr">
        <is>
          <t>PRJ-1-KPI-2-ST-1</t>
        </is>
      </c>
      <c r="G3" t="inlineStr">
        <is>
          <t>Development</t>
        </is>
      </c>
      <c r="H3" s="3" t="n">
        <v>0.7061226851851852</v>
      </c>
      <c r="I3" s="3" t="n">
        <v>0.7541319444444444</v>
      </c>
      <c r="J3" s="4">
        <f>IF(AND(H3&lt;&gt;"",I3&lt;&gt;""),(I3-H3)*24,"")</f>
        <v/>
      </c>
      <c r="K3" t="inlineStr">
        <is>
          <t>Finish all task</t>
        </is>
      </c>
      <c r="L3" t="inlineStr"/>
    </row>
    <row r="4">
      <c r="A4" s="2" t="n"/>
      <c r="H4" s="3" t="n"/>
      <c r="I4" s="3" t="n"/>
      <c r="J4" s="4" t="n"/>
    </row>
    <row r="5">
      <c r="A5" s="2" t="n"/>
      <c r="H5" s="3" t="n"/>
      <c r="I5" s="3" t="n"/>
      <c r="J5" s="4" t="n"/>
    </row>
    <row r="6">
      <c r="A6" s="2" t="n"/>
      <c r="H6" s="3" t="n"/>
      <c r="I6" s="3" t="n"/>
      <c r="J6" s="4" t="n"/>
    </row>
    <row r="7">
      <c r="A7" s="2" t="n"/>
      <c r="H7" s="3" t="n"/>
      <c r="I7" s="3" t="n"/>
      <c r="J7" s="4" t="n"/>
    </row>
    <row r="8">
      <c r="A8" s="2" t="n"/>
      <c r="H8" s="3" t="n"/>
      <c r="I8" s="3" t="n"/>
      <c r="J8" s="4" t="n"/>
    </row>
    <row r="9">
      <c r="A9" s="2" t="n"/>
      <c r="H9" s="3" t="n"/>
      <c r="I9" s="3" t="n"/>
      <c r="J9" s="4" t="n"/>
    </row>
    <row r="10">
      <c r="A10" s="2" t="n"/>
      <c r="H10" s="3" t="n"/>
      <c r="I10" s="3" t="n"/>
      <c r="J10" s="4" t="n"/>
    </row>
    <row r="11">
      <c r="A11" s="2" t="n"/>
      <c r="H11" s="3" t="n"/>
      <c r="I11" s="3" t="n"/>
      <c r="J11" s="4" t="n"/>
    </row>
    <row r="12">
      <c r="A12" s="2" t="n"/>
      <c r="H12" s="3" t="n"/>
      <c r="I12" s="3" t="n"/>
      <c r="J12" s="4" t="n"/>
    </row>
    <row r="13">
      <c r="A13" s="2" t="n"/>
      <c r="H13" s="3" t="n"/>
      <c r="I13" s="3" t="n"/>
      <c r="J13" s="4" t="n"/>
    </row>
    <row r="14">
      <c r="A14" s="2" t="n"/>
      <c r="H14" s="3" t="n"/>
      <c r="I14" s="3" t="n"/>
      <c r="J14" s="4" t="n"/>
    </row>
    <row r="15">
      <c r="A15" s="2" t="n"/>
      <c r="H15" s="3" t="n"/>
      <c r="I15" s="3" t="n"/>
      <c r="J15" s="4" t="n"/>
    </row>
    <row r="16">
      <c r="A16" s="2" t="n"/>
      <c r="H16" s="3" t="n"/>
      <c r="I16" s="3" t="n"/>
      <c r="J16" s="4" t="n"/>
    </row>
    <row r="17">
      <c r="A17" s="2" t="n"/>
      <c r="H17" s="3" t="n"/>
      <c r="I17" s="3" t="n"/>
      <c r="J17" s="4" t="n"/>
    </row>
    <row r="18">
      <c r="A18" s="2" t="n"/>
      <c r="H18" s="3" t="n"/>
      <c r="I18" s="3" t="n"/>
      <c r="J18" s="4" t="n"/>
    </row>
    <row r="19">
      <c r="A19" s="2" t="n"/>
      <c r="H19" s="3" t="n"/>
      <c r="I19" s="3" t="n"/>
      <c r="J19" s="4" t="n"/>
    </row>
    <row r="20">
      <c r="A20" s="2" t="n"/>
      <c r="H20" s="3" t="n"/>
      <c r="I20" s="3" t="n"/>
      <c r="J20" s="4" t="n"/>
    </row>
    <row r="21">
      <c r="A21" s="2" t="n"/>
      <c r="H21" s="3" t="n"/>
      <c r="I21" s="3" t="n"/>
      <c r="J21" s="4" t="n"/>
    </row>
    <row r="22">
      <c r="A22" s="2" t="n"/>
      <c r="H22" s="3" t="n"/>
      <c r="I22" s="3" t="n"/>
      <c r="J22" s="4" t="n"/>
    </row>
    <row r="23">
      <c r="A23" s="2" t="n"/>
      <c r="H23" s="3" t="n"/>
      <c r="I23" s="3" t="n"/>
      <c r="J23" s="4" t="n"/>
    </row>
    <row r="24">
      <c r="A24" s="2" t="n"/>
      <c r="H24" s="3" t="n"/>
      <c r="I24" s="3" t="n"/>
      <c r="J24" s="4" t="n"/>
    </row>
    <row r="25">
      <c r="A25" s="2" t="n"/>
      <c r="H25" s="3" t="n"/>
      <c r="I25" s="3" t="n"/>
      <c r="J25" s="4" t="n"/>
    </row>
    <row r="26">
      <c r="A26" s="2" t="n"/>
      <c r="H26" s="3" t="n"/>
      <c r="I26" s="3" t="n"/>
      <c r="J26" s="4" t="n"/>
    </row>
    <row r="27">
      <c r="A27" s="2" t="n"/>
      <c r="H27" s="3" t="n"/>
      <c r="I27" s="3" t="n"/>
      <c r="J27" s="4" t="n"/>
    </row>
    <row r="28">
      <c r="A28" s="2" t="n"/>
      <c r="H28" s="3" t="n"/>
      <c r="I28" s="3" t="n"/>
      <c r="J28" s="4" t="n"/>
    </row>
    <row r="29">
      <c r="A29" s="2" t="n"/>
      <c r="H29" s="3" t="n"/>
      <c r="I29" s="3" t="n"/>
      <c r="J29" s="4" t="n"/>
    </row>
    <row r="30">
      <c r="A30" s="2" t="n"/>
      <c r="H30" s="3" t="n"/>
      <c r="I30" s="3" t="n"/>
      <c r="J30" s="4" t="n"/>
    </row>
    <row r="31">
      <c r="A31" s="2" t="n"/>
      <c r="H31" s="3" t="n"/>
      <c r="I31" s="3" t="n"/>
      <c r="J31" s="4" t="n"/>
    </row>
    <row r="32">
      <c r="A32" s="2" t="n"/>
      <c r="H32" s="3" t="n"/>
      <c r="I32" s="3" t="n"/>
      <c r="J32" s="4" t="n"/>
    </row>
    <row r="33">
      <c r="A33" s="2" t="n"/>
      <c r="H33" s="3" t="n"/>
      <c r="I33" s="3" t="n"/>
      <c r="J33" s="4" t="n"/>
    </row>
    <row r="34">
      <c r="A34" s="2" t="n"/>
      <c r="H34" s="3" t="n"/>
      <c r="I34" s="3" t="n"/>
      <c r="J34" s="4" t="n"/>
    </row>
    <row r="35">
      <c r="A35" s="2" t="n"/>
      <c r="H35" s="3" t="n"/>
      <c r="I35" s="3" t="n"/>
      <c r="J35" s="4" t="n"/>
    </row>
    <row r="36">
      <c r="A36" s="2" t="n"/>
      <c r="H36" s="3" t="n"/>
      <c r="I36" s="3" t="n"/>
      <c r="J36" s="4" t="n"/>
    </row>
    <row r="37">
      <c r="A37" s="2" t="n"/>
      <c r="H37" s="3" t="n"/>
      <c r="I37" s="3" t="n"/>
      <c r="J37" s="4" t="n"/>
    </row>
    <row r="38">
      <c r="A38" s="2" t="n"/>
      <c r="H38" s="3" t="n"/>
      <c r="I38" s="3" t="n"/>
      <c r="J38" s="4" t="n"/>
    </row>
    <row r="39">
      <c r="A39" s="2" t="n"/>
      <c r="H39" s="3" t="n"/>
      <c r="I39" s="3" t="n"/>
      <c r="J39" s="4" t="n"/>
    </row>
    <row r="40">
      <c r="A40" s="2" t="n"/>
      <c r="H40" s="3" t="n"/>
      <c r="I40" s="3" t="n"/>
      <c r="J40" s="4" t="n"/>
    </row>
    <row r="41">
      <c r="A41" s="2" t="n"/>
      <c r="H41" s="3" t="n"/>
      <c r="I41" s="3" t="n"/>
      <c r="J41" s="4" t="n"/>
    </row>
    <row r="42">
      <c r="A42" s="2" t="n"/>
      <c r="H42" s="3" t="n"/>
      <c r="I42" s="3" t="n"/>
      <c r="J42" s="4" t="n"/>
    </row>
    <row r="43">
      <c r="A43" s="2" t="n"/>
      <c r="H43" s="3" t="n"/>
      <c r="I43" s="3" t="n"/>
      <c r="J43" s="4" t="n"/>
    </row>
    <row r="44">
      <c r="A44" s="2" t="n"/>
      <c r="H44" s="3" t="n"/>
      <c r="I44" s="3" t="n"/>
      <c r="J44" s="4" t="n"/>
    </row>
    <row r="45">
      <c r="A45" s="2" t="n"/>
      <c r="H45" s="3" t="n"/>
      <c r="I45" s="3" t="n"/>
      <c r="J45" s="4" t="n"/>
    </row>
    <row r="46">
      <c r="A46" s="2" t="n"/>
      <c r="H46" s="3" t="n"/>
      <c r="I46" s="3" t="n"/>
      <c r="J46" s="4" t="n"/>
    </row>
    <row r="47">
      <c r="A47" s="2" t="n"/>
      <c r="H47" s="3" t="n"/>
      <c r="I47" s="3" t="n"/>
      <c r="J47" s="4" t="n"/>
    </row>
    <row r="48">
      <c r="A48" s="2" t="n"/>
      <c r="H48" s="3" t="n"/>
      <c r="I48" s="3" t="n"/>
      <c r="J48" s="4" t="n"/>
    </row>
    <row r="49">
      <c r="A49" s="2" t="n"/>
      <c r="H49" s="3" t="n"/>
      <c r="I49" s="3" t="n"/>
      <c r="J49" s="4" t="n"/>
    </row>
    <row r="50">
      <c r="A50" s="2" t="n"/>
      <c r="H50" s="3" t="n"/>
      <c r="I50" s="3" t="n"/>
      <c r="J50" s="4" t="n"/>
    </row>
    <row r="51">
      <c r="A51" s="2" t="n"/>
      <c r="H51" s="3" t="n"/>
      <c r="I51" s="3" t="n"/>
      <c r="J51" s="4" t="n"/>
    </row>
    <row r="52">
      <c r="A52" s="2" t="n"/>
      <c r="H52" s="3" t="n"/>
      <c r="I52" s="3" t="n"/>
      <c r="J52" s="4" t="n"/>
    </row>
    <row r="53">
      <c r="A53" s="2" t="n"/>
      <c r="H53" s="3" t="n"/>
      <c r="I53" s="3" t="n"/>
      <c r="J53" s="4" t="n"/>
    </row>
    <row r="54">
      <c r="A54" s="2" t="n"/>
      <c r="H54" s="3" t="n"/>
      <c r="I54" s="3" t="n"/>
      <c r="J54" s="4" t="n"/>
    </row>
    <row r="55">
      <c r="A55" s="2" t="n"/>
      <c r="H55" s="3" t="n"/>
      <c r="I55" s="3" t="n"/>
      <c r="J55" s="4" t="n"/>
    </row>
    <row r="56">
      <c r="A56" s="2" t="n"/>
      <c r="H56" s="3" t="n"/>
      <c r="I56" s="3" t="n"/>
      <c r="J56" s="4" t="n"/>
    </row>
    <row r="57">
      <c r="A57" s="2" t="n"/>
      <c r="H57" s="3" t="n"/>
      <c r="I57" s="3" t="n"/>
      <c r="J57" s="4" t="n"/>
    </row>
    <row r="58">
      <c r="A58" s="2" t="n"/>
      <c r="H58" s="3" t="n"/>
      <c r="I58" s="3" t="n"/>
      <c r="J58" s="4" t="n"/>
    </row>
    <row r="59">
      <c r="A59" s="2" t="n"/>
      <c r="H59" s="3" t="n"/>
      <c r="I59" s="3" t="n"/>
      <c r="J59" s="4" t="n"/>
    </row>
    <row r="60">
      <c r="A60" s="2" t="n"/>
      <c r="H60" s="3" t="n"/>
      <c r="I60" s="3" t="n"/>
      <c r="J60" s="4" t="n"/>
    </row>
    <row r="61">
      <c r="A61" s="2" t="n"/>
      <c r="H61" s="3" t="n"/>
      <c r="I61" s="3" t="n"/>
      <c r="J61" s="4" t="n"/>
    </row>
    <row r="62">
      <c r="A62" s="2" t="n"/>
      <c r="H62" s="3" t="n"/>
      <c r="I62" s="3" t="n"/>
      <c r="J62" s="4" t="n"/>
    </row>
    <row r="63">
      <c r="A63" s="2" t="n"/>
      <c r="H63" s="3" t="n"/>
      <c r="I63" s="3" t="n"/>
      <c r="J63" s="4" t="n"/>
    </row>
    <row r="64">
      <c r="A64" s="2" t="n"/>
      <c r="H64" s="3" t="n"/>
      <c r="I64" s="3" t="n"/>
      <c r="J64" s="4" t="n"/>
    </row>
    <row r="65">
      <c r="A65" s="2" t="n"/>
      <c r="H65" s="3" t="n"/>
      <c r="I65" s="3" t="n"/>
      <c r="J65" s="4" t="n"/>
    </row>
    <row r="66">
      <c r="A66" s="2" t="n"/>
      <c r="H66" s="3" t="n"/>
      <c r="I66" s="3" t="n"/>
      <c r="J66" s="4" t="n"/>
    </row>
    <row r="67">
      <c r="A67" s="2" t="n"/>
      <c r="H67" s="3" t="n"/>
      <c r="I67" s="3" t="n"/>
      <c r="J67" s="4" t="n"/>
    </row>
    <row r="68">
      <c r="A68" s="2" t="n"/>
      <c r="H68" s="3" t="n"/>
      <c r="I68" s="3" t="n"/>
      <c r="J68" s="4" t="n"/>
    </row>
    <row r="69">
      <c r="A69" s="2" t="n"/>
      <c r="H69" s="3" t="n"/>
      <c r="I69" s="3" t="n"/>
      <c r="J69" s="4" t="n"/>
    </row>
    <row r="70">
      <c r="A70" s="2" t="n"/>
      <c r="H70" s="3" t="n"/>
      <c r="I70" s="3" t="n"/>
      <c r="J70" s="4" t="n"/>
    </row>
    <row r="71">
      <c r="A71" s="2" t="n"/>
      <c r="H71" s="3" t="n"/>
      <c r="I71" s="3" t="n"/>
      <c r="J71" s="4" t="n"/>
    </row>
    <row r="72">
      <c r="A72" s="2" t="n"/>
      <c r="H72" s="3" t="n"/>
      <c r="I72" s="3" t="n"/>
      <c r="J72" s="4" t="n"/>
    </row>
    <row r="73">
      <c r="A73" s="2" t="n"/>
      <c r="H73" s="3" t="n"/>
      <c r="I73" s="3" t="n"/>
      <c r="J73" s="4" t="n"/>
    </row>
    <row r="74">
      <c r="A74" s="2" t="n"/>
      <c r="H74" s="3" t="n"/>
      <c r="I74" s="3" t="n"/>
      <c r="J74" s="4" t="n"/>
    </row>
    <row r="75">
      <c r="A75" s="2" t="n"/>
      <c r="H75" s="3" t="n"/>
      <c r="I75" s="3" t="n"/>
      <c r="J75" s="4" t="n"/>
    </row>
    <row r="76">
      <c r="A76" s="2" t="n"/>
      <c r="H76" s="3" t="n"/>
      <c r="I76" s="3" t="n"/>
      <c r="J76" s="4" t="n"/>
    </row>
    <row r="77">
      <c r="A77" s="2" t="n"/>
      <c r="H77" s="3" t="n"/>
      <c r="I77" s="3" t="n"/>
      <c r="J77" s="4" t="n"/>
    </row>
    <row r="78">
      <c r="A78" s="2" t="n"/>
      <c r="H78" s="3" t="n"/>
      <c r="I78" s="3" t="n"/>
      <c r="J78" s="4" t="n"/>
    </row>
    <row r="79">
      <c r="A79" s="2" t="n"/>
      <c r="H79" s="3" t="n"/>
      <c r="I79" s="3" t="n"/>
      <c r="J79" s="4" t="n"/>
    </row>
    <row r="80">
      <c r="A80" s="2" t="n"/>
      <c r="H80" s="3" t="n"/>
      <c r="I80" s="3" t="n"/>
      <c r="J80" s="4" t="n"/>
    </row>
    <row r="81">
      <c r="A81" s="2" t="n"/>
      <c r="H81" s="3" t="n"/>
      <c r="I81" s="3" t="n"/>
      <c r="J81" s="4" t="n"/>
    </row>
    <row r="82">
      <c r="A82" s="2" t="n"/>
      <c r="H82" s="3" t="n"/>
      <c r="I82" s="3" t="n"/>
      <c r="J82" s="4" t="n"/>
    </row>
    <row r="83">
      <c r="A83" s="2" t="n"/>
      <c r="H83" s="3" t="n"/>
      <c r="I83" s="3" t="n"/>
      <c r="J83" s="4" t="n"/>
    </row>
    <row r="84">
      <c r="A84" s="2" t="n"/>
      <c r="H84" s="3" t="n"/>
      <c r="I84" s="3" t="n"/>
      <c r="J84" s="4" t="n"/>
    </row>
    <row r="85">
      <c r="A85" s="2" t="n"/>
      <c r="H85" s="3" t="n"/>
      <c r="I85" s="3" t="n"/>
      <c r="J85" s="4" t="n"/>
    </row>
    <row r="86">
      <c r="A86" s="2" t="n"/>
      <c r="H86" s="3" t="n"/>
      <c r="I86" s="3" t="n"/>
      <c r="J86" s="4" t="n"/>
    </row>
    <row r="87">
      <c r="A87" s="2" t="n"/>
      <c r="H87" s="3" t="n"/>
      <c r="I87" s="3" t="n"/>
      <c r="J87" s="4" t="n"/>
    </row>
    <row r="88">
      <c r="A88" s="2" t="n"/>
      <c r="H88" s="3" t="n"/>
      <c r="I88" s="3" t="n"/>
      <c r="J88" s="4" t="n"/>
    </row>
    <row r="89">
      <c r="A89" s="2" t="n"/>
      <c r="H89" s="3" t="n"/>
      <c r="I89" s="3" t="n"/>
      <c r="J89" s="4" t="n"/>
    </row>
    <row r="90">
      <c r="A90" s="2" t="n"/>
      <c r="H90" s="3" t="n"/>
      <c r="I90" s="3" t="n"/>
      <c r="J90" s="4" t="n"/>
    </row>
    <row r="91">
      <c r="A91" s="2" t="n"/>
      <c r="H91" s="3" t="n"/>
      <c r="I91" s="3" t="n"/>
      <c r="J91" s="4" t="n"/>
    </row>
    <row r="92">
      <c r="A92" s="2" t="n"/>
      <c r="H92" s="3" t="n"/>
      <c r="I92" s="3" t="n"/>
      <c r="J92" s="4" t="n"/>
    </row>
    <row r="93">
      <c r="A93" s="2" t="n"/>
      <c r="H93" s="3" t="n"/>
      <c r="I93" s="3" t="n"/>
      <c r="J93" s="4" t="n"/>
    </row>
    <row r="94">
      <c r="A94" s="2" t="n"/>
      <c r="H94" s="3" t="n"/>
      <c r="I94" s="3" t="n"/>
      <c r="J94" s="4" t="n"/>
    </row>
    <row r="95">
      <c r="A95" s="2" t="n"/>
      <c r="H95" s="3" t="n"/>
      <c r="I95" s="3" t="n"/>
      <c r="J95" s="4" t="n"/>
    </row>
    <row r="96">
      <c r="A96" s="2" t="n"/>
      <c r="H96" s="3" t="n"/>
      <c r="I96" s="3" t="n"/>
      <c r="J96" s="4" t="n"/>
    </row>
    <row r="97">
      <c r="A97" s="2" t="n"/>
      <c r="H97" s="3" t="n"/>
      <c r="I97" s="3" t="n"/>
      <c r="J97" s="4" t="n"/>
    </row>
    <row r="98">
      <c r="A98" s="2" t="n"/>
      <c r="H98" s="3" t="n"/>
      <c r="I98" s="3" t="n"/>
      <c r="J98" s="4" t="n"/>
    </row>
    <row r="99">
      <c r="A99" s="2" t="n"/>
      <c r="H99" s="3" t="n"/>
      <c r="I99" s="3" t="n"/>
      <c r="J99" s="4" t="n"/>
    </row>
    <row r="100">
      <c r="A100" s="2" t="n"/>
      <c r="H100" s="3" t="n"/>
      <c r="I100" s="3" t="n"/>
      <c r="J100" s="4" t="n"/>
    </row>
    <row r="101">
      <c r="A101" s="2" t="n"/>
      <c r="H101" s="3" t="n"/>
      <c r="I101" s="3" t="n"/>
      <c r="J101" s="4" t="n"/>
    </row>
    <row r="102">
      <c r="A102" s="2" t="n"/>
      <c r="H102" s="3" t="n"/>
      <c r="I102" s="3" t="n"/>
      <c r="J102" s="4" t="n"/>
    </row>
    <row r="103">
      <c r="A103" s="2" t="n"/>
      <c r="H103" s="3" t="n"/>
      <c r="I103" s="3" t="n"/>
      <c r="J103" s="4" t="n"/>
    </row>
    <row r="104">
      <c r="A104" s="2" t="n"/>
      <c r="H104" s="3" t="n"/>
      <c r="I104" s="3" t="n"/>
      <c r="J104" s="4" t="n"/>
    </row>
    <row r="105">
      <c r="A105" s="2" t="n"/>
      <c r="H105" s="3" t="n"/>
      <c r="I105" s="3" t="n"/>
      <c r="J105" s="4" t="n"/>
    </row>
    <row r="106">
      <c r="A106" s="2" t="n"/>
      <c r="H106" s="3" t="n"/>
      <c r="I106" s="3" t="n"/>
      <c r="J106" s="4" t="n"/>
    </row>
    <row r="107">
      <c r="A107" s="2" t="n"/>
      <c r="H107" s="3" t="n"/>
      <c r="I107" s="3" t="n"/>
      <c r="J107" s="4" t="n"/>
    </row>
    <row r="108">
      <c r="A108" s="2" t="n"/>
      <c r="H108" s="3" t="n"/>
      <c r="I108" s="3" t="n"/>
      <c r="J108" s="4" t="n"/>
    </row>
    <row r="109">
      <c r="A109" s="2" t="n"/>
      <c r="H109" s="3" t="n"/>
      <c r="I109" s="3" t="n"/>
      <c r="J109" s="4" t="n"/>
    </row>
    <row r="110">
      <c r="A110" s="2" t="n"/>
      <c r="H110" s="3" t="n"/>
      <c r="I110" s="3" t="n"/>
      <c r="J110" s="4" t="n"/>
    </row>
    <row r="111">
      <c r="A111" s="2" t="n"/>
      <c r="H111" s="3" t="n"/>
      <c r="I111" s="3" t="n"/>
      <c r="J111" s="4" t="n"/>
    </row>
    <row r="112">
      <c r="A112" s="2" t="n"/>
      <c r="H112" s="3" t="n"/>
      <c r="I112" s="3" t="n"/>
      <c r="J112" s="4" t="n"/>
    </row>
    <row r="113">
      <c r="A113" s="2" t="n"/>
      <c r="H113" s="3" t="n"/>
      <c r="I113" s="3" t="n"/>
      <c r="J113" s="4" t="n"/>
    </row>
    <row r="114">
      <c r="A114" s="2" t="n"/>
      <c r="H114" s="3" t="n"/>
      <c r="I114" s="3" t="n"/>
      <c r="J114" s="4" t="n"/>
    </row>
    <row r="115">
      <c r="A115" s="2" t="n"/>
      <c r="H115" s="3" t="n"/>
      <c r="I115" s="3" t="n"/>
      <c r="J115" s="4" t="n"/>
    </row>
    <row r="116">
      <c r="A116" s="2" t="n"/>
      <c r="H116" s="3" t="n"/>
      <c r="I116" s="3" t="n"/>
      <c r="J116" s="4" t="n"/>
    </row>
    <row r="117">
      <c r="A117" s="2" t="n"/>
      <c r="H117" s="3" t="n"/>
      <c r="I117" s="3" t="n"/>
      <c r="J117" s="4" t="n"/>
    </row>
    <row r="118">
      <c r="A118" s="2" t="n"/>
      <c r="H118" s="3" t="n"/>
      <c r="I118" s="3" t="n"/>
      <c r="J118" s="4" t="n"/>
    </row>
    <row r="119">
      <c r="A119" s="2" t="n"/>
      <c r="H119" s="3" t="n"/>
      <c r="I119" s="3" t="n"/>
      <c r="J119" s="4" t="n"/>
    </row>
    <row r="120">
      <c r="A120" s="2" t="n"/>
      <c r="H120" s="3" t="n"/>
      <c r="I120" s="3" t="n"/>
      <c r="J120" s="4" t="n"/>
    </row>
    <row r="121">
      <c r="A121" s="2" t="n"/>
      <c r="H121" s="3" t="n"/>
      <c r="I121" s="3" t="n"/>
      <c r="J121" s="4" t="n"/>
    </row>
    <row r="122">
      <c r="A122" s="2" t="n"/>
      <c r="H122" s="3" t="n"/>
      <c r="I122" s="3" t="n"/>
      <c r="J122" s="4" t="n"/>
    </row>
    <row r="123">
      <c r="A123" s="2" t="n"/>
      <c r="H123" s="3" t="n"/>
      <c r="I123" s="3" t="n"/>
      <c r="J123" s="4" t="n"/>
    </row>
    <row r="124">
      <c r="A124" s="2" t="n"/>
      <c r="H124" s="3" t="n"/>
      <c r="I124" s="3" t="n"/>
      <c r="J124" s="4" t="n"/>
    </row>
    <row r="125">
      <c r="A125" s="2" t="n"/>
      <c r="H125" s="3" t="n"/>
      <c r="I125" s="3" t="n"/>
      <c r="J125" s="4" t="n"/>
    </row>
    <row r="126">
      <c r="A126" s="2" t="n"/>
      <c r="H126" s="3" t="n"/>
      <c r="I126" s="3" t="n"/>
      <c r="J126" s="4" t="n"/>
    </row>
    <row r="127">
      <c r="A127" s="2" t="n"/>
      <c r="H127" s="3" t="n"/>
      <c r="I127" s="3" t="n"/>
      <c r="J127" s="4" t="n"/>
    </row>
    <row r="128">
      <c r="A128" s="2" t="n"/>
      <c r="H128" s="3" t="n"/>
      <c r="I128" s="3" t="n"/>
      <c r="J128" s="4" t="n"/>
    </row>
    <row r="129">
      <c r="A129" s="2" t="n"/>
      <c r="H129" s="3" t="n"/>
      <c r="I129" s="3" t="n"/>
      <c r="J129" s="4" t="n"/>
    </row>
    <row r="130">
      <c r="A130" s="2" t="n"/>
      <c r="H130" s="3" t="n"/>
      <c r="I130" s="3" t="n"/>
      <c r="J130" s="4" t="n"/>
    </row>
    <row r="131">
      <c r="A131" s="2" t="n"/>
      <c r="H131" s="3" t="n"/>
      <c r="I131" s="3" t="n"/>
      <c r="J131" s="4" t="n"/>
    </row>
    <row r="132">
      <c r="A132" s="2" t="n"/>
      <c r="H132" s="3" t="n"/>
      <c r="I132" s="3" t="n"/>
      <c r="J132" s="4" t="n"/>
    </row>
    <row r="133">
      <c r="A133" s="2" t="n"/>
      <c r="H133" s="3" t="n"/>
      <c r="I133" s="3" t="n"/>
      <c r="J133" s="4" t="n"/>
    </row>
    <row r="134">
      <c r="A134" s="2" t="n"/>
      <c r="H134" s="3" t="n"/>
      <c r="I134" s="3" t="n"/>
      <c r="J134" s="4" t="n"/>
    </row>
    <row r="135">
      <c r="A135" s="2" t="n"/>
      <c r="H135" s="3" t="n"/>
      <c r="I135" s="3" t="n"/>
      <c r="J135" s="4" t="n"/>
    </row>
    <row r="136">
      <c r="A136" s="2" t="n"/>
      <c r="H136" s="3" t="n"/>
      <c r="I136" s="3" t="n"/>
      <c r="J136" s="4" t="n"/>
    </row>
    <row r="137">
      <c r="A137" s="2" t="n"/>
      <c r="H137" s="3" t="n"/>
      <c r="I137" s="3" t="n"/>
      <c r="J137" s="4" t="n"/>
    </row>
    <row r="138">
      <c r="A138" s="2" t="n"/>
      <c r="H138" s="3" t="n"/>
      <c r="I138" s="3" t="n"/>
      <c r="J138" s="4" t="n"/>
    </row>
    <row r="139">
      <c r="A139" s="2" t="n"/>
      <c r="H139" s="3" t="n"/>
      <c r="I139" s="3" t="n"/>
      <c r="J139" s="4" t="n"/>
    </row>
    <row r="140">
      <c r="A140" s="2" t="n"/>
      <c r="H140" s="3" t="n"/>
      <c r="I140" s="3" t="n"/>
      <c r="J140" s="4" t="n"/>
    </row>
    <row r="141">
      <c r="A141" s="2" t="n"/>
      <c r="H141" s="3" t="n"/>
      <c r="I141" s="3" t="n"/>
      <c r="J141" s="4" t="n"/>
    </row>
    <row r="142">
      <c r="A142" s="2" t="n"/>
      <c r="H142" s="3" t="n"/>
      <c r="I142" s="3" t="n"/>
      <c r="J142" s="4" t="n"/>
    </row>
    <row r="143">
      <c r="A143" s="2" t="n"/>
      <c r="H143" s="3" t="n"/>
      <c r="I143" s="3" t="n"/>
      <c r="J143" s="4" t="n"/>
    </row>
    <row r="144">
      <c r="A144" s="2" t="n"/>
      <c r="H144" s="3" t="n"/>
      <c r="I144" s="3" t="n"/>
      <c r="J144" s="4" t="n"/>
    </row>
    <row r="145">
      <c r="A145" s="2" t="n"/>
      <c r="H145" s="3" t="n"/>
      <c r="I145" s="3" t="n"/>
      <c r="J145" s="4" t="n"/>
    </row>
    <row r="146">
      <c r="A146" s="2" t="n"/>
      <c r="H146" s="3" t="n"/>
      <c r="I146" s="3" t="n"/>
      <c r="J146" s="4" t="n"/>
    </row>
    <row r="147">
      <c r="A147" s="2" t="n"/>
      <c r="H147" s="3" t="n"/>
      <c r="I147" s="3" t="n"/>
      <c r="J147" s="4" t="n"/>
    </row>
    <row r="148">
      <c r="A148" s="2" t="n"/>
      <c r="H148" s="3" t="n"/>
      <c r="I148" s="3" t="n"/>
      <c r="J148" s="4" t="n"/>
    </row>
    <row r="149">
      <c r="A149" s="2" t="n"/>
      <c r="H149" s="3" t="n"/>
      <c r="I149" s="3" t="n"/>
      <c r="J149" s="4" t="n"/>
    </row>
    <row r="150">
      <c r="A150" s="2" t="n"/>
      <c r="H150" s="3" t="n"/>
      <c r="I150" s="3" t="n"/>
      <c r="J150" s="4" t="n"/>
    </row>
    <row r="151">
      <c r="A151" s="2" t="n"/>
      <c r="H151" s="3" t="n"/>
      <c r="I151" s="3" t="n"/>
      <c r="J151" s="4" t="n"/>
    </row>
    <row r="152">
      <c r="A152" s="2" t="n"/>
      <c r="H152" s="3" t="n"/>
      <c r="I152" s="3" t="n"/>
      <c r="J152" s="4" t="n"/>
    </row>
    <row r="153">
      <c r="A153" s="2" t="n"/>
      <c r="H153" s="3" t="n"/>
      <c r="I153" s="3" t="n"/>
      <c r="J153" s="4" t="n"/>
    </row>
    <row r="154">
      <c r="A154" s="2" t="n"/>
      <c r="H154" s="3" t="n"/>
      <c r="I154" s="3" t="n"/>
      <c r="J154" s="4" t="n"/>
    </row>
    <row r="155">
      <c r="A155" s="2" t="n"/>
      <c r="H155" s="3" t="n"/>
      <c r="I155" s="3" t="n"/>
      <c r="J155" s="4" t="n"/>
    </row>
    <row r="156">
      <c r="A156" s="2" t="n"/>
      <c r="H156" s="3" t="n"/>
      <c r="I156" s="3" t="n"/>
      <c r="J156" s="4" t="n"/>
    </row>
    <row r="157">
      <c r="A157" s="2" t="n"/>
      <c r="H157" s="3" t="n"/>
      <c r="I157" s="3" t="n"/>
      <c r="J157" s="4" t="n"/>
    </row>
    <row r="158">
      <c r="A158" s="2" t="n"/>
      <c r="H158" s="3" t="n"/>
      <c r="I158" s="3" t="n"/>
      <c r="J158" s="4" t="n"/>
    </row>
    <row r="159">
      <c r="A159" s="2" t="n"/>
      <c r="H159" s="3" t="n"/>
      <c r="I159" s="3" t="n"/>
      <c r="J159" s="4" t="n"/>
    </row>
    <row r="160">
      <c r="A160" s="2" t="n"/>
      <c r="H160" s="3" t="n"/>
      <c r="I160" s="3" t="n"/>
      <c r="J160" s="4" t="n"/>
    </row>
    <row r="161">
      <c r="A161" s="2" t="n"/>
      <c r="H161" s="3" t="n"/>
      <c r="I161" s="3" t="n"/>
      <c r="J161" s="4" t="n"/>
    </row>
    <row r="162">
      <c r="A162" s="2" t="n"/>
      <c r="H162" s="3" t="n"/>
      <c r="I162" s="3" t="n"/>
      <c r="J162" s="4" t="n"/>
    </row>
    <row r="163">
      <c r="A163" s="2" t="n"/>
      <c r="H163" s="3" t="n"/>
      <c r="I163" s="3" t="n"/>
      <c r="J163" s="4" t="n"/>
    </row>
    <row r="164">
      <c r="A164" s="2" t="n"/>
      <c r="H164" s="3" t="n"/>
      <c r="I164" s="3" t="n"/>
      <c r="J164" s="4" t="n"/>
    </row>
    <row r="165">
      <c r="A165" s="2" t="n"/>
      <c r="H165" s="3" t="n"/>
      <c r="I165" s="3" t="n"/>
      <c r="J165" s="4" t="n"/>
    </row>
    <row r="166">
      <c r="A166" s="2" t="n"/>
      <c r="H166" s="3" t="n"/>
      <c r="I166" s="3" t="n"/>
      <c r="J166" s="4" t="n"/>
    </row>
    <row r="167">
      <c r="A167" s="2" t="n"/>
      <c r="H167" s="3" t="n"/>
      <c r="I167" s="3" t="n"/>
      <c r="J167" s="4" t="n"/>
    </row>
    <row r="168">
      <c r="A168" s="2" t="n"/>
      <c r="H168" s="3" t="n"/>
      <c r="I168" s="3" t="n"/>
      <c r="J168" s="4" t="n"/>
    </row>
    <row r="169">
      <c r="A169" s="2" t="n"/>
      <c r="H169" s="3" t="n"/>
      <c r="I169" s="3" t="n"/>
      <c r="J169" s="4" t="n"/>
    </row>
    <row r="170">
      <c r="A170" s="2" t="n"/>
      <c r="H170" s="3" t="n"/>
      <c r="I170" s="3" t="n"/>
      <c r="J170" s="4" t="n"/>
    </row>
    <row r="171">
      <c r="A171" s="2" t="n"/>
      <c r="H171" s="3" t="n"/>
      <c r="I171" s="3" t="n"/>
      <c r="J171" s="4" t="n"/>
    </row>
    <row r="172">
      <c r="A172" s="2" t="n"/>
      <c r="H172" s="3" t="n"/>
      <c r="I172" s="3" t="n"/>
      <c r="J172" s="4" t="n"/>
    </row>
    <row r="173">
      <c r="A173" s="2" t="n"/>
      <c r="H173" s="3" t="n"/>
      <c r="I173" s="3" t="n"/>
      <c r="J173" s="4" t="n"/>
    </row>
    <row r="174">
      <c r="A174" s="2" t="n"/>
      <c r="H174" s="3" t="n"/>
      <c r="I174" s="3" t="n"/>
      <c r="J174" s="4" t="n"/>
    </row>
    <row r="175">
      <c r="A175" s="2" t="n"/>
      <c r="H175" s="3" t="n"/>
      <c r="I175" s="3" t="n"/>
      <c r="J175" s="4" t="n"/>
    </row>
    <row r="176">
      <c r="A176" s="2" t="n"/>
      <c r="H176" s="3" t="n"/>
      <c r="I176" s="3" t="n"/>
      <c r="J176" s="4" t="n"/>
    </row>
    <row r="177">
      <c r="A177" s="2" t="n"/>
      <c r="H177" s="3" t="n"/>
      <c r="I177" s="3" t="n"/>
      <c r="J177" s="4" t="n"/>
    </row>
    <row r="178">
      <c r="A178" s="2" t="n"/>
      <c r="H178" s="3" t="n"/>
      <c r="I178" s="3" t="n"/>
      <c r="J178" s="4" t="n"/>
    </row>
    <row r="179">
      <c r="A179" s="2" t="n"/>
      <c r="H179" s="3" t="n"/>
      <c r="I179" s="3" t="n"/>
      <c r="J179" s="4" t="n"/>
    </row>
    <row r="180">
      <c r="A180" s="2" t="n"/>
      <c r="H180" s="3" t="n"/>
      <c r="I180" s="3" t="n"/>
      <c r="J180" s="4" t="n"/>
    </row>
    <row r="181">
      <c r="A181" s="2" t="n"/>
      <c r="H181" s="3" t="n"/>
      <c r="I181" s="3" t="n"/>
      <c r="J181" s="4" t="n"/>
    </row>
    <row r="182">
      <c r="A182" s="2" t="n"/>
      <c r="H182" s="3" t="n"/>
      <c r="I182" s="3" t="n"/>
      <c r="J182" s="4" t="n"/>
    </row>
    <row r="183">
      <c r="A183" s="2" t="n"/>
      <c r="H183" s="3" t="n"/>
      <c r="I183" s="3" t="n"/>
      <c r="J183" s="4" t="n"/>
    </row>
    <row r="184">
      <c r="A184" s="2" t="n"/>
      <c r="H184" s="3" t="n"/>
      <c r="I184" s="3" t="n"/>
      <c r="J184" s="4" t="n"/>
    </row>
    <row r="185">
      <c r="A185" s="2" t="n"/>
      <c r="H185" s="3" t="n"/>
      <c r="I185" s="3" t="n"/>
      <c r="J185" s="4" t="n"/>
    </row>
    <row r="186">
      <c r="A186" s="2" t="n"/>
      <c r="H186" s="3" t="n"/>
      <c r="I186" s="3" t="n"/>
      <c r="J186" s="4" t="n"/>
    </row>
    <row r="187">
      <c r="A187" s="2" t="n"/>
      <c r="H187" s="3" t="n"/>
      <c r="I187" s="3" t="n"/>
      <c r="J187" s="4" t="n"/>
    </row>
    <row r="188">
      <c r="A188" s="2" t="n"/>
      <c r="H188" s="3" t="n"/>
      <c r="I188" s="3" t="n"/>
      <c r="J188" s="4" t="n"/>
    </row>
    <row r="189">
      <c r="A189" s="2" t="n"/>
      <c r="H189" s="3" t="n"/>
      <c r="I189" s="3" t="n"/>
      <c r="J189" s="4" t="n"/>
    </row>
    <row r="190">
      <c r="A190" s="2" t="n"/>
      <c r="H190" s="3" t="n"/>
      <c r="I190" s="3" t="n"/>
      <c r="J190" s="4" t="n"/>
    </row>
    <row r="191">
      <c r="A191" s="2" t="n"/>
      <c r="H191" s="3" t="n"/>
      <c r="I191" s="3" t="n"/>
      <c r="J191" s="4" t="n"/>
    </row>
    <row r="192">
      <c r="A192" s="2" t="n"/>
      <c r="H192" s="3" t="n"/>
      <c r="I192" s="3" t="n"/>
      <c r="J192" s="4" t="n"/>
    </row>
    <row r="193">
      <c r="A193" s="2" t="n"/>
      <c r="H193" s="3" t="n"/>
      <c r="I193" s="3" t="n"/>
      <c r="J193" s="4" t="n"/>
    </row>
    <row r="194">
      <c r="A194" s="2" t="n"/>
      <c r="H194" s="3" t="n"/>
      <c r="I194" s="3" t="n"/>
      <c r="J194" s="4" t="n"/>
    </row>
    <row r="195">
      <c r="A195" s="2" t="n"/>
      <c r="H195" s="3" t="n"/>
      <c r="I195" s="3" t="n"/>
      <c r="J195" s="4" t="n"/>
    </row>
    <row r="196">
      <c r="A196" s="2" t="n"/>
      <c r="H196" s="3" t="n"/>
      <c r="I196" s="3" t="n"/>
      <c r="J196" s="4" t="n"/>
    </row>
    <row r="197">
      <c r="A197" s="2" t="n"/>
      <c r="H197" s="3" t="n"/>
      <c r="I197" s="3" t="n"/>
      <c r="J197" s="4" t="n"/>
    </row>
    <row r="198">
      <c r="A198" s="2" t="n"/>
      <c r="H198" s="3" t="n"/>
      <c r="I198" s="3" t="n"/>
      <c r="J198" s="4" t="n"/>
    </row>
    <row r="199">
      <c r="A199" s="2" t="n"/>
      <c r="H199" s="3" t="n"/>
      <c r="I199" s="3" t="n"/>
      <c r="J199" s="4" t="n"/>
    </row>
    <row r="200">
      <c r="A200" s="2" t="n"/>
      <c r="H200" s="3" t="n"/>
      <c r="I200" s="3" t="n"/>
      <c r="J200" s="4" t="n"/>
    </row>
    <row r="201">
      <c r="A201" s="2" t="n"/>
      <c r="H201" s="3" t="n"/>
      <c r="I201" s="3" t="n"/>
      <c r="J201" s="4" t="n"/>
    </row>
    <row r="202">
      <c r="A202" s="2" t="n"/>
      <c r="H202" s="3" t="n"/>
      <c r="I202" s="3" t="n"/>
      <c r="J202" s="4" t="n"/>
    </row>
    <row r="203">
      <c r="A203" s="2" t="n"/>
      <c r="H203" s="3" t="n"/>
      <c r="I203" s="3" t="n"/>
      <c r="J203" s="4" t="n"/>
    </row>
    <row r="204">
      <c r="A204" s="2" t="n"/>
      <c r="H204" s="3" t="n"/>
      <c r="I204" s="3" t="n"/>
      <c r="J204" s="4" t="n"/>
    </row>
    <row r="205">
      <c r="A205" s="2" t="n"/>
      <c r="H205" s="3" t="n"/>
      <c r="I205" s="3" t="n"/>
      <c r="J205" s="4" t="n"/>
    </row>
    <row r="206">
      <c r="A206" s="2" t="n"/>
      <c r="H206" s="3" t="n"/>
      <c r="I206" s="3" t="n"/>
      <c r="J206" s="4" t="n"/>
    </row>
    <row r="207">
      <c r="A207" s="2" t="n"/>
      <c r="H207" s="3" t="n"/>
      <c r="I207" s="3" t="n"/>
      <c r="J207" s="4" t="n"/>
    </row>
    <row r="208">
      <c r="A208" s="2" t="n"/>
      <c r="H208" s="3" t="n"/>
      <c r="I208" s="3" t="n"/>
      <c r="J208" s="4" t="n"/>
    </row>
    <row r="209">
      <c r="A209" s="2" t="n"/>
      <c r="H209" s="3" t="n"/>
      <c r="I209" s="3" t="n"/>
      <c r="J209" s="4" t="n"/>
    </row>
    <row r="210">
      <c r="A210" s="2" t="n"/>
      <c r="H210" s="3" t="n"/>
      <c r="I210" s="3" t="n"/>
      <c r="J210" s="4" t="n"/>
    </row>
    <row r="211">
      <c r="A211" s="2" t="n"/>
      <c r="H211" s="3" t="n"/>
      <c r="I211" s="3" t="n"/>
      <c r="J211" s="4" t="n"/>
    </row>
    <row r="212">
      <c r="A212" s="2" t="n"/>
      <c r="H212" s="3" t="n"/>
      <c r="I212" s="3" t="n"/>
      <c r="J212" s="4" t="n"/>
    </row>
    <row r="213">
      <c r="A213" s="2" t="n"/>
      <c r="H213" s="3" t="n"/>
      <c r="I213" s="3" t="n"/>
      <c r="J213" s="4" t="n"/>
    </row>
    <row r="214">
      <c r="A214" s="2" t="n"/>
      <c r="H214" s="3" t="n"/>
      <c r="I214" s="3" t="n"/>
      <c r="J214" s="4" t="n"/>
    </row>
    <row r="215">
      <c r="A215" s="2" t="n"/>
      <c r="H215" s="3" t="n"/>
      <c r="I215" s="3" t="n"/>
      <c r="J215" s="4" t="n"/>
    </row>
    <row r="216">
      <c r="A216" s="2" t="n"/>
      <c r="H216" s="3" t="n"/>
      <c r="I216" s="3" t="n"/>
      <c r="J216" s="4" t="n"/>
    </row>
    <row r="217">
      <c r="A217" s="2" t="n"/>
      <c r="H217" s="3" t="n"/>
      <c r="I217" s="3" t="n"/>
      <c r="J217" s="4" t="n"/>
    </row>
    <row r="218">
      <c r="A218" s="2" t="n"/>
      <c r="H218" s="3" t="n"/>
      <c r="I218" s="3" t="n"/>
      <c r="J218" s="4" t="n"/>
    </row>
    <row r="219">
      <c r="A219" s="2" t="n"/>
      <c r="H219" s="3" t="n"/>
      <c r="I219" s="3" t="n"/>
      <c r="J219" s="4" t="n"/>
    </row>
    <row r="220">
      <c r="A220" s="2" t="n"/>
      <c r="H220" s="3" t="n"/>
      <c r="I220" s="3" t="n"/>
      <c r="J220" s="4" t="n"/>
    </row>
    <row r="221">
      <c r="A221" s="2" t="n"/>
      <c r="H221" s="3" t="n"/>
      <c r="I221" s="3" t="n"/>
      <c r="J221" s="4" t="n"/>
    </row>
    <row r="222">
      <c r="A222" s="2" t="n"/>
      <c r="H222" s="3" t="n"/>
      <c r="I222" s="3" t="n"/>
      <c r="J222" s="4" t="n"/>
    </row>
    <row r="223">
      <c r="A223" s="2" t="n"/>
      <c r="H223" s="3" t="n"/>
      <c r="I223" s="3" t="n"/>
      <c r="J223" s="4" t="n"/>
    </row>
    <row r="224">
      <c r="A224" s="2" t="n"/>
      <c r="H224" s="3" t="n"/>
      <c r="I224" s="3" t="n"/>
      <c r="J224" s="4" t="n"/>
    </row>
    <row r="225">
      <c r="A225" s="2" t="n"/>
      <c r="H225" s="3" t="n"/>
      <c r="I225" s="3" t="n"/>
      <c r="J225" s="4" t="n"/>
    </row>
    <row r="226">
      <c r="A226" s="2" t="n"/>
      <c r="H226" s="3" t="n"/>
      <c r="I226" s="3" t="n"/>
      <c r="J226" s="4" t="n"/>
    </row>
    <row r="227">
      <c r="A227" s="2" t="n"/>
      <c r="H227" s="3" t="n"/>
      <c r="I227" s="3" t="n"/>
      <c r="J227" s="4" t="n"/>
    </row>
    <row r="228">
      <c r="A228" s="2" t="n"/>
      <c r="H228" s="3" t="n"/>
      <c r="I228" s="3" t="n"/>
      <c r="J228" s="4" t="n"/>
    </row>
    <row r="229">
      <c r="A229" s="2" t="n"/>
      <c r="H229" s="3" t="n"/>
      <c r="I229" s="3" t="n"/>
      <c r="J229" s="4" t="n"/>
    </row>
    <row r="230">
      <c r="A230" s="2" t="n"/>
      <c r="H230" s="3" t="n"/>
      <c r="I230" s="3" t="n"/>
      <c r="J230" s="4" t="n"/>
    </row>
    <row r="231">
      <c r="A231" s="2" t="n"/>
      <c r="H231" s="3" t="n"/>
      <c r="I231" s="3" t="n"/>
      <c r="J231" s="4" t="n"/>
    </row>
    <row r="232">
      <c r="A232" s="2" t="n"/>
      <c r="H232" s="3" t="n"/>
      <c r="I232" s="3" t="n"/>
      <c r="J232" s="4" t="n"/>
    </row>
    <row r="233">
      <c r="A233" s="2" t="n"/>
      <c r="H233" s="3" t="n"/>
      <c r="I233" s="3" t="n"/>
      <c r="J233" s="4" t="n"/>
    </row>
    <row r="234">
      <c r="A234" s="2" t="n"/>
      <c r="H234" s="3" t="n"/>
      <c r="I234" s="3" t="n"/>
      <c r="J234" s="4" t="n"/>
    </row>
    <row r="235">
      <c r="A235" s="2" t="n"/>
      <c r="H235" s="3" t="n"/>
      <c r="I235" s="3" t="n"/>
      <c r="J235" s="4" t="n"/>
    </row>
    <row r="236">
      <c r="A236" s="2" t="n"/>
      <c r="H236" s="3" t="n"/>
      <c r="I236" s="3" t="n"/>
      <c r="J236" s="4" t="n"/>
    </row>
    <row r="237">
      <c r="A237" s="2" t="n"/>
      <c r="H237" s="3" t="n"/>
      <c r="I237" s="3" t="n"/>
      <c r="J237" s="4" t="n"/>
    </row>
    <row r="238">
      <c r="A238" s="2" t="n"/>
      <c r="H238" s="3" t="n"/>
      <c r="I238" s="3" t="n"/>
      <c r="J238" s="4" t="n"/>
    </row>
    <row r="239">
      <c r="A239" s="2" t="n"/>
      <c r="H239" s="3" t="n"/>
      <c r="I239" s="3" t="n"/>
      <c r="J239" s="4" t="n"/>
    </row>
    <row r="240">
      <c r="A240" s="2" t="n"/>
      <c r="H240" s="3" t="n"/>
      <c r="I240" s="3" t="n"/>
      <c r="J240" s="4" t="n"/>
    </row>
    <row r="241">
      <c r="A241" s="2" t="n"/>
      <c r="H241" s="3" t="n"/>
      <c r="I241" s="3" t="n"/>
      <c r="J241" s="4" t="n"/>
    </row>
    <row r="242">
      <c r="A242" s="2" t="n"/>
      <c r="H242" s="3" t="n"/>
      <c r="I242" s="3" t="n"/>
      <c r="J242" s="4" t="n"/>
    </row>
    <row r="243">
      <c r="A243" s="2" t="n"/>
      <c r="H243" s="3" t="n"/>
      <c r="I243" s="3" t="n"/>
      <c r="J243" s="4" t="n"/>
    </row>
    <row r="244">
      <c r="A244" s="2" t="n"/>
      <c r="H244" s="3" t="n"/>
      <c r="I244" s="3" t="n"/>
      <c r="J244" s="4" t="n"/>
    </row>
    <row r="245">
      <c r="A245" s="2" t="n"/>
      <c r="H245" s="3" t="n"/>
      <c r="I245" s="3" t="n"/>
      <c r="J245" s="4" t="n"/>
    </row>
    <row r="246">
      <c r="A246" s="2" t="n"/>
      <c r="H246" s="3" t="n"/>
      <c r="I246" s="3" t="n"/>
      <c r="J246" s="4" t="n"/>
    </row>
    <row r="247">
      <c r="A247" s="2" t="n"/>
      <c r="H247" s="3" t="n"/>
      <c r="I247" s="3" t="n"/>
      <c r="J247" s="4" t="n"/>
    </row>
    <row r="248">
      <c r="A248" s="2" t="n"/>
      <c r="H248" s="3" t="n"/>
      <c r="I248" s="3" t="n"/>
      <c r="J248" s="4" t="n"/>
    </row>
    <row r="249">
      <c r="A249" s="2" t="n"/>
      <c r="H249" s="3" t="n"/>
      <c r="I249" s="3" t="n"/>
      <c r="J249" s="4" t="n"/>
    </row>
    <row r="250">
      <c r="A250" s="2" t="n"/>
      <c r="H250" s="3" t="n"/>
      <c r="I250" s="3" t="n"/>
      <c r="J250" s="4" t="n"/>
    </row>
    <row r="251">
      <c r="A251" s="2" t="n"/>
      <c r="H251" s="3" t="n"/>
      <c r="I251" s="3" t="n"/>
      <c r="J251" s="4" t="n"/>
    </row>
    <row r="252">
      <c r="A252" s="2" t="n"/>
      <c r="H252" s="3" t="n"/>
      <c r="I252" s="3" t="n"/>
      <c r="J252" s="4" t="n"/>
    </row>
    <row r="253">
      <c r="A253" s="2" t="n"/>
      <c r="H253" s="3" t="n"/>
      <c r="I253" s="3" t="n"/>
      <c r="J253" s="4" t="n"/>
    </row>
    <row r="254">
      <c r="A254" s="2" t="n"/>
      <c r="H254" s="3" t="n"/>
      <c r="I254" s="3" t="n"/>
      <c r="J254" s="4" t="n"/>
    </row>
    <row r="255">
      <c r="A255" s="2" t="n"/>
      <c r="H255" s="3" t="n"/>
      <c r="I255" s="3" t="n"/>
      <c r="J255" s="4" t="n"/>
    </row>
    <row r="256">
      <c r="A256" s="2" t="n"/>
      <c r="H256" s="3" t="n"/>
      <c r="I256" s="3" t="n"/>
      <c r="J256" s="4" t="n"/>
    </row>
    <row r="257">
      <c r="A257" s="2" t="n"/>
      <c r="H257" s="3" t="n"/>
      <c r="I257" s="3" t="n"/>
      <c r="J257" s="4" t="n"/>
    </row>
    <row r="258">
      <c r="A258" s="2" t="n"/>
      <c r="H258" s="3" t="n"/>
      <c r="I258" s="3" t="n"/>
      <c r="J258" s="4" t="n"/>
    </row>
    <row r="259">
      <c r="A259" s="2" t="n"/>
      <c r="H259" s="3" t="n"/>
      <c r="I259" s="3" t="n"/>
      <c r="J259" s="4" t="n"/>
    </row>
    <row r="260">
      <c r="A260" s="2" t="n"/>
      <c r="H260" s="3" t="n"/>
      <c r="I260" s="3" t="n"/>
      <c r="J260" s="4" t="n"/>
    </row>
    <row r="261">
      <c r="A261" s="2" t="n"/>
      <c r="H261" s="3" t="n"/>
      <c r="I261" s="3" t="n"/>
      <c r="J261" s="4" t="n"/>
    </row>
    <row r="262">
      <c r="A262" s="2" t="n"/>
      <c r="H262" s="3" t="n"/>
      <c r="I262" s="3" t="n"/>
      <c r="J262" s="4" t="n"/>
    </row>
    <row r="263">
      <c r="A263" s="2" t="n"/>
      <c r="H263" s="3" t="n"/>
      <c r="I263" s="3" t="n"/>
      <c r="J263" s="4" t="n"/>
    </row>
    <row r="264">
      <c r="A264" s="2" t="n"/>
      <c r="H264" s="3" t="n"/>
      <c r="I264" s="3" t="n"/>
      <c r="J264" s="4" t="n"/>
    </row>
    <row r="265">
      <c r="A265" s="2" t="n"/>
      <c r="H265" s="3" t="n"/>
      <c r="I265" s="3" t="n"/>
      <c r="J265" s="4" t="n"/>
    </row>
    <row r="266">
      <c r="A266" s="2" t="n"/>
      <c r="H266" s="3" t="n"/>
      <c r="I266" s="3" t="n"/>
      <c r="J266" s="4" t="n"/>
    </row>
    <row r="267">
      <c r="A267" s="2" t="n"/>
      <c r="H267" s="3" t="n"/>
      <c r="I267" s="3" t="n"/>
      <c r="J267" s="4" t="n"/>
    </row>
    <row r="268">
      <c r="A268" s="2" t="n"/>
      <c r="H268" s="3" t="n"/>
      <c r="I268" s="3" t="n"/>
      <c r="J268" s="4" t="n"/>
    </row>
    <row r="269">
      <c r="A269" s="2" t="n"/>
      <c r="H269" s="3" t="n"/>
      <c r="I269" s="3" t="n"/>
      <c r="J269" s="4" t="n"/>
    </row>
    <row r="270">
      <c r="A270" s="2" t="n"/>
      <c r="H270" s="3" t="n"/>
      <c r="I270" s="3" t="n"/>
      <c r="J270" s="4" t="n"/>
    </row>
    <row r="271">
      <c r="A271" s="2" t="n"/>
      <c r="H271" s="3" t="n"/>
      <c r="I271" s="3" t="n"/>
      <c r="J271" s="4" t="n"/>
    </row>
    <row r="272">
      <c r="A272" s="2" t="n"/>
      <c r="H272" s="3" t="n"/>
      <c r="I272" s="3" t="n"/>
      <c r="J272" s="4" t="n"/>
    </row>
    <row r="273">
      <c r="A273" s="2" t="n"/>
      <c r="H273" s="3" t="n"/>
      <c r="I273" s="3" t="n"/>
      <c r="J273" s="4" t="n"/>
    </row>
    <row r="274">
      <c r="A274" s="2" t="n"/>
      <c r="H274" s="3" t="n"/>
      <c r="I274" s="3" t="n"/>
      <c r="J274" s="4" t="n"/>
    </row>
    <row r="275">
      <c r="A275" s="2" t="n"/>
      <c r="H275" s="3" t="n"/>
      <c r="I275" s="3" t="n"/>
      <c r="J275" s="4" t="n"/>
    </row>
    <row r="276">
      <c r="A276" s="2" t="n"/>
      <c r="H276" s="3" t="n"/>
      <c r="I276" s="3" t="n"/>
      <c r="J276" s="4" t="n"/>
    </row>
    <row r="277">
      <c r="A277" s="2" t="n"/>
      <c r="H277" s="3" t="n"/>
      <c r="I277" s="3" t="n"/>
      <c r="J277" s="4" t="n"/>
    </row>
    <row r="278">
      <c r="A278" s="2" t="n"/>
      <c r="H278" s="3" t="n"/>
      <c r="I278" s="3" t="n"/>
      <c r="J278" s="4" t="n"/>
    </row>
    <row r="279">
      <c r="A279" s="2" t="n"/>
      <c r="H279" s="3" t="n"/>
      <c r="I279" s="3" t="n"/>
      <c r="J279" s="4" t="n"/>
    </row>
    <row r="280">
      <c r="A280" s="2" t="n"/>
      <c r="H280" s="3" t="n"/>
      <c r="I280" s="3" t="n"/>
      <c r="J280" s="4" t="n"/>
    </row>
    <row r="281">
      <c r="A281" s="2" t="n"/>
      <c r="H281" s="3" t="n"/>
      <c r="I281" s="3" t="n"/>
      <c r="J281" s="4" t="n"/>
    </row>
    <row r="282">
      <c r="A282" s="2" t="n"/>
      <c r="H282" s="3" t="n"/>
      <c r="I282" s="3" t="n"/>
      <c r="J282" s="4" t="n"/>
    </row>
    <row r="283">
      <c r="A283" s="2" t="n"/>
      <c r="H283" s="3" t="n"/>
      <c r="I283" s="3" t="n"/>
      <c r="J283" s="4" t="n"/>
    </row>
    <row r="284">
      <c r="A284" s="2" t="n"/>
      <c r="H284" s="3" t="n"/>
      <c r="I284" s="3" t="n"/>
      <c r="J284" s="4" t="n"/>
    </row>
    <row r="285">
      <c r="A285" s="2" t="n"/>
      <c r="H285" s="3" t="n"/>
      <c r="I285" s="3" t="n"/>
      <c r="J285" s="4" t="n"/>
    </row>
    <row r="286">
      <c r="A286" s="2" t="n"/>
      <c r="H286" s="3" t="n"/>
      <c r="I286" s="3" t="n"/>
      <c r="J286" s="4" t="n"/>
    </row>
    <row r="287">
      <c r="A287" s="2" t="n"/>
      <c r="H287" s="3" t="n"/>
      <c r="I287" s="3" t="n"/>
      <c r="J287" s="4" t="n"/>
    </row>
    <row r="288">
      <c r="A288" s="2" t="n"/>
      <c r="H288" s="3" t="n"/>
      <c r="I288" s="3" t="n"/>
      <c r="J288" s="4" t="n"/>
    </row>
    <row r="289">
      <c r="A289" s="2" t="n"/>
      <c r="H289" s="3" t="n"/>
      <c r="I289" s="3" t="n"/>
      <c r="J289" s="4" t="n"/>
    </row>
    <row r="290">
      <c r="A290" s="2" t="n"/>
      <c r="H290" s="3" t="n"/>
      <c r="I290" s="3" t="n"/>
      <c r="J290" s="4" t="n"/>
    </row>
    <row r="291">
      <c r="A291" s="2" t="n"/>
      <c r="H291" s="3" t="n"/>
      <c r="I291" s="3" t="n"/>
      <c r="J291" s="4" t="n"/>
    </row>
    <row r="292">
      <c r="A292" s="2" t="n"/>
      <c r="H292" s="3" t="n"/>
      <c r="I292" s="3" t="n"/>
      <c r="J292" s="4" t="n"/>
    </row>
    <row r="293">
      <c r="A293" s="2" t="n"/>
      <c r="H293" s="3" t="n"/>
      <c r="I293" s="3" t="n"/>
      <c r="J293" s="4" t="n"/>
    </row>
    <row r="294">
      <c r="A294" s="2" t="n"/>
      <c r="H294" s="3" t="n"/>
      <c r="I294" s="3" t="n"/>
      <c r="J294" s="4" t="n"/>
    </row>
    <row r="295">
      <c r="A295" s="2" t="n"/>
      <c r="H295" s="3" t="n"/>
      <c r="I295" s="3" t="n"/>
      <c r="J295" s="4" t="n"/>
    </row>
    <row r="296">
      <c r="A296" s="2" t="n"/>
      <c r="H296" s="3" t="n"/>
      <c r="I296" s="3" t="n"/>
      <c r="J296" s="4" t="n"/>
    </row>
    <row r="297">
      <c r="A297" s="2" t="n"/>
      <c r="H297" s="3" t="n"/>
      <c r="I297" s="3" t="n"/>
      <c r="J297" s="4" t="n"/>
    </row>
    <row r="298">
      <c r="A298" s="2" t="n"/>
      <c r="H298" s="3" t="n"/>
      <c r="I298" s="3" t="n"/>
      <c r="J298" s="4" t="n"/>
    </row>
    <row r="299">
      <c r="A299" s="2" t="n"/>
      <c r="H299" s="3" t="n"/>
      <c r="I299" s="3" t="n"/>
      <c r="J299" s="4" t="n"/>
    </row>
    <row r="300">
      <c r="A300" s="2" t="n"/>
      <c r="H300" s="3" t="n"/>
      <c r="I300" s="3" t="n"/>
      <c r="J300" s="4" t="n"/>
    </row>
    <row r="301">
      <c r="A301" s="2" t="n"/>
      <c r="H301" s="3" t="n"/>
      <c r="I301" s="3" t="n"/>
      <c r="J301" s="4" t="n"/>
    </row>
    <row r="302">
      <c r="A302" s="2" t="n"/>
      <c r="H302" s="3" t="n"/>
      <c r="I302" s="3" t="n"/>
      <c r="J302" s="4" t="n"/>
    </row>
    <row r="303">
      <c r="A303" s="2" t="n"/>
      <c r="H303" s="3" t="n"/>
      <c r="I303" s="3" t="n"/>
      <c r="J303" s="4" t="n"/>
    </row>
    <row r="304">
      <c r="A304" s="2" t="n"/>
      <c r="H304" s="3" t="n"/>
      <c r="I304" s="3" t="n"/>
      <c r="J304" s="4" t="n"/>
    </row>
    <row r="305">
      <c r="A305" s="2" t="n"/>
      <c r="H305" s="3" t="n"/>
      <c r="I305" s="3" t="n"/>
      <c r="J305" s="4" t="n"/>
    </row>
    <row r="306">
      <c r="A306" s="2" t="n"/>
      <c r="H306" s="3" t="n"/>
      <c r="I306" s="3" t="n"/>
      <c r="J306" s="4" t="n"/>
    </row>
    <row r="307">
      <c r="A307" s="2" t="n"/>
      <c r="H307" s="3" t="n"/>
      <c r="I307" s="3" t="n"/>
      <c r="J307" s="4" t="n"/>
    </row>
    <row r="308">
      <c r="A308" s="2" t="n"/>
      <c r="H308" s="3" t="n"/>
      <c r="I308" s="3" t="n"/>
      <c r="J308" s="4" t="n"/>
    </row>
    <row r="309">
      <c r="A309" s="2" t="n"/>
      <c r="H309" s="3" t="n"/>
      <c r="I309" s="3" t="n"/>
      <c r="J309" s="4" t="n"/>
    </row>
    <row r="310">
      <c r="A310" s="2" t="n"/>
      <c r="H310" s="3" t="n"/>
      <c r="I310" s="3" t="n"/>
      <c r="J310" s="4" t="n"/>
    </row>
    <row r="311">
      <c r="A311" s="2" t="n"/>
      <c r="H311" s="3" t="n"/>
      <c r="I311" s="3" t="n"/>
      <c r="J311" s="4" t="n"/>
    </row>
    <row r="312">
      <c r="A312" s="2" t="n"/>
      <c r="H312" s="3" t="n"/>
      <c r="I312" s="3" t="n"/>
      <c r="J312" s="4" t="n"/>
    </row>
    <row r="313">
      <c r="A313" s="2" t="n"/>
      <c r="H313" s="3" t="n"/>
      <c r="I313" s="3" t="n"/>
      <c r="J313" s="4" t="n"/>
    </row>
    <row r="314">
      <c r="A314" s="2" t="n"/>
      <c r="H314" s="3" t="n"/>
      <c r="I314" s="3" t="n"/>
      <c r="J314" s="4" t="n"/>
    </row>
    <row r="315">
      <c r="A315" s="2" t="n"/>
      <c r="H315" s="3" t="n"/>
      <c r="I315" s="3" t="n"/>
      <c r="J315" s="4" t="n"/>
    </row>
    <row r="316">
      <c r="A316" s="2" t="n"/>
      <c r="H316" s="3" t="n"/>
      <c r="I316" s="3" t="n"/>
      <c r="J316" s="4" t="n"/>
    </row>
    <row r="317">
      <c r="A317" s="2" t="n"/>
      <c r="H317" s="3" t="n"/>
      <c r="I317" s="3" t="n"/>
      <c r="J317" s="4" t="n"/>
    </row>
    <row r="318">
      <c r="A318" s="2" t="n"/>
      <c r="H318" s="3" t="n"/>
      <c r="I318" s="3" t="n"/>
      <c r="J318" s="4" t="n"/>
    </row>
    <row r="319">
      <c r="A319" s="2" t="n"/>
      <c r="H319" s="3" t="n"/>
      <c r="I319" s="3" t="n"/>
      <c r="J319" s="4" t="n"/>
    </row>
    <row r="320">
      <c r="A320" s="2" t="n"/>
      <c r="H320" s="3" t="n"/>
      <c r="I320" s="3" t="n"/>
      <c r="J320" s="4" t="n"/>
    </row>
    <row r="321">
      <c r="A321" s="2" t="n"/>
      <c r="H321" s="3" t="n"/>
      <c r="I321" s="3" t="n"/>
      <c r="J321" s="4" t="n"/>
    </row>
    <row r="322">
      <c r="A322" s="2" t="n"/>
      <c r="H322" s="3" t="n"/>
      <c r="I322" s="3" t="n"/>
      <c r="J322" s="4" t="n"/>
    </row>
    <row r="323">
      <c r="A323" s="2" t="n"/>
      <c r="H323" s="3" t="n"/>
      <c r="I323" s="3" t="n"/>
      <c r="J323" s="4" t="n"/>
    </row>
    <row r="324">
      <c r="A324" s="2" t="n"/>
      <c r="H324" s="3" t="n"/>
      <c r="I324" s="3" t="n"/>
      <c r="J324" s="4" t="n"/>
    </row>
    <row r="325">
      <c r="A325" s="2" t="n"/>
      <c r="H325" s="3" t="n"/>
      <c r="I325" s="3" t="n"/>
      <c r="J325" s="4" t="n"/>
    </row>
    <row r="326">
      <c r="A326" s="2" t="n"/>
      <c r="H326" s="3" t="n"/>
      <c r="I326" s="3" t="n"/>
      <c r="J326" s="4" t="n"/>
    </row>
    <row r="327">
      <c r="A327" s="2" t="n"/>
      <c r="H327" s="3" t="n"/>
      <c r="I327" s="3" t="n"/>
      <c r="J327" s="4" t="n"/>
    </row>
    <row r="328">
      <c r="A328" s="2" t="n"/>
      <c r="H328" s="3" t="n"/>
      <c r="I328" s="3" t="n"/>
      <c r="J328" s="4" t="n"/>
    </row>
    <row r="329">
      <c r="A329" s="2" t="n"/>
      <c r="H329" s="3" t="n"/>
      <c r="I329" s="3" t="n"/>
      <c r="J329" s="4" t="n"/>
    </row>
    <row r="330">
      <c r="A330" s="2" t="n"/>
      <c r="H330" s="3" t="n"/>
      <c r="I330" s="3" t="n"/>
      <c r="J330" s="4" t="n"/>
    </row>
    <row r="331">
      <c r="A331" s="2" t="n"/>
      <c r="H331" s="3" t="n"/>
      <c r="I331" s="3" t="n"/>
      <c r="J331" s="4" t="n"/>
    </row>
    <row r="332">
      <c r="A332" s="2" t="n"/>
      <c r="H332" s="3" t="n"/>
      <c r="I332" s="3" t="n"/>
      <c r="J332" s="4" t="n"/>
    </row>
    <row r="333">
      <c r="A333" s="2" t="n"/>
      <c r="H333" s="3" t="n"/>
      <c r="I333" s="3" t="n"/>
      <c r="J333" s="4" t="n"/>
    </row>
    <row r="334">
      <c r="A334" s="2" t="n"/>
      <c r="H334" s="3" t="n"/>
      <c r="I334" s="3" t="n"/>
      <c r="J334" s="4" t="n"/>
    </row>
    <row r="335">
      <c r="A335" s="2" t="n"/>
      <c r="H335" s="3" t="n"/>
      <c r="I335" s="3" t="n"/>
      <c r="J335" s="4" t="n"/>
    </row>
    <row r="336">
      <c r="A336" s="2" t="n"/>
      <c r="H336" s="3" t="n"/>
      <c r="I336" s="3" t="n"/>
      <c r="J336" s="4" t="n"/>
    </row>
    <row r="337">
      <c r="A337" s="2" t="n"/>
      <c r="H337" s="3" t="n"/>
      <c r="I337" s="3" t="n"/>
      <c r="J337" s="4" t="n"/>
    </row>
    <row r="338">
      <c r="A338" s="2" t="n"/>
      <c r="H338" s="3" t="n"/>
      <c r="I338" s="3" t="n"/>
      <c r="J338" s="4" t="n"/>
    </row>
    <row r="339">
      <c r="A339" s="2" t="n"/>
      <c r="H339" s="3" t="n"/>
      <c r="I339" s="3" t="n"/>
      <c r="J339" s="4" t="n"/>
    </row>
    <row r="340">
      <c r="A340" s="2" t="n"/>
      <c r="H340" s="3" t="n"/>
      <c r="I340" s="3" t="n"/>
      <c r="J340" s="4" t="n"/>
    </row>
    <row r="341">
      <c r="A341" s="2" t="n"/>
      <c r="H341" s="3" t="n"/>
      <c r="I341" s="3" t="n"/>
      <c r="J341" s="4" t="n"/>
    </row>
    <row r="342">
      <c r="A342" s="2" t="n"/>
      <c r="H342" s="3" t="n"/>
      <c r="I342" s="3" t="n"/>
      <c r="J342" s="4" t="n"/>
    </row>
    <row r="343">
      <c r="A343" s="2" t="n"/>
      <c r="H343" s="3" t="n"/>
      <c r="I343" s="3" t="n"/>
      <c r="J343" s="4" t="n"/>
    </row>
    <row r="344">
      <c r="A344" s="2" t="n"/>
      <c r="H344" s="3" t="n"/>
      <c r="I344" s="3" t="n"/>
      <c r="J344" s="4" t="n"/>
    </row>
    <row r="345">
      <c r="A345" s="2" t="n"/>
      <c r="H345" s="3" t="n"/>
      <c r="I345" s="3" t="n"/>
      <c r="J345" s="4" t="n"/>
    </row>
    <row r="346">
      <c r="A346" s="2" t="n"/>
      <c r="H346" s="3" t="n"/>
      <c r="I346" s="3" t="n"/>
      <c r="J346" s="4" t="n"/>
    </row>
    <row r="347">
      <c r="A347" s="2" t="n"/>
      <c r="H347" s="3" t="n"/>
      <c r="I347" s="3" t="n"/>
      <c r="J347" s="4" t="n"/>
    </row>
    <row r="348">
      <c r="A348" s="2" t="n"/>
      <c r="H348" s="3" t="n"/>
      <c r="I348" s="3" t="n"/>
      <c r="J348" s="4" t="n"/>
    </row>
    <row r="349">
      <c r="A349" s="2" t="n"/>
      <c r="H349" s="3" t="n"/>
      <c r="I349" s="3" t="n"/>
      <c r="J349" s="4" t="n"/>
    </row>
    <row r="350">
      <c r="A350" s="2" t="n"/>
      <c r="H350" s="3" t="n"/>
      <c r="I350" s="3" t="n"/>
      <c r="J350" s="4" t="n"/>
    </row>
    <row r="351">
      <c r="A351" s="2" t="n"/>
      <c r="H351" s="3" t="n"/>
      <c r="I351" s="3" t="n"/>
      <c r="J351" s="4" t="n"/>
    </row>
    <row r="352">
      <c r="A352" s="2" t="n"/>
      <c r="H352" s="3" t="n"/>
      <c r="I352" s="3" t="n"/>
      <c r="J352" s="4" t="n"/>
    </row>
    <row r="353">
      <c r="A353" s="2" t="n"/>
      <c r="H353" s="3" t="n"/>
      <c r="I353" s="3" t="n"/>
      <c r="J353" s="4" t="n"/>
    </row>
    <row r="354">
      <c r="A354" s="2" t="n"/>
      <c r="H354" s="3" t="n"/>
      <c r="I354" s="3" t="n"/>
      <c r="J354" s="4" t="n"/>
    </row>
    <row r="355">
      <c r="A355" s="2" t="n"/>
      <c r="H355" s="3" t="n"/>
      <c r="I355" s="3" t="n"/>
      <c r="J355" s="4" t="n"/>
    </row>
    <row r="356">
      <c r="A356" s="2" t="n"/>
      <c r="H356" s="3" t="n"/>
      <c r="I356" s="3" t="n"/>
      <c r="J356" s="4" t="n"/>
    </row>
    <row r="357">
      <c r="A357" s="2" t="n"/>
      <c r="H357" s="3" t="n"/>
      <c r="I357" s="3" t="n"/>
      <c r="J357" s="4" t="n"/>
    </row>
    <row r="358">
      <c r="A358" s="2" t="n"/>
      <c r="H358" s="3" t="n"/>
      <c r="I358" s="3" t="n"/>
      <c r="J358" s="4" t="n"/>
    </row>
    <row r="359">
      <c r="A359" s="2" t="n"/>
      <c r="H359" s="3" t="n"/>
      <c r="I359" s="3" t="n"/>
      <c r="J359" s="4" t="n"/>
    </row>
    <row r="360">
      <c r="A360" s="2" t="n"/>
      <c r="H360" s="3" t="n"/>
      <c r="I360" s="3" t="n"/>
      <c r="J360" s="4" t="n"/>
    </row>
    <row r="361">
      <c r="A361" s="2" t="n"/>
      <c r="H361" s="3" t="n"/>
      <c r="I361" s="3" t="n"/>
      <c r="J361" s="4" t="n"/>
    </row>
    <row r="362">
      <c r="A362" s="2" t="n"/>
      <c r="H362" s="3" t="n"/>
      <c r="I362" s="3" t="n"/>
      <c r="J362" s="4" t="n"/>
    </row>
    <row r="363">
      <c r="A363" s="2" t="n"/>
      <c r="H363" s="3" t="n"/>
      <c r="I363" s="3" t="n"/>
      <c r="J363" s="4" t="n"/>
    </row>
    <row r="364">
      <c r="A364" s="2" t="n"/>
      <c r="H364" s="3" t="n"/>
      <c r="I364" s="3" t="n"/>
      <c r="J364" s="4" t="n"/>
    </row>
    <row r="365">
      <c r="A365" s="2" t="n"/>
      <c r="H365" s="3" t="n"/>
      <c r="I365" s="3" t="n"/>
      <c r="J365" s="4" t="n"/>
    </row>
    <row r="366">
      <c r="A366" s="2" t="n"/>
      <c r="H366" s="3" t="n"/>
      <c r="I366" s="3" t="n"/>
      <c r="J366" s="4" t="n"/>
    </row>
    <row r="367">
      <c r="A367" s="2" t="n"/>
      <c r="H367" s="3" t="n"/>
      <c r="I367" s="3" t="n"/>
      <c r="J367" s="4" t="n"/>
    </row>
    <row r="368">
      <c r="A368" s="2" t="n"/>
      <c r="H368" s="3" t="n"/>
      <c r="I368" s="3" t="n"/>
      <c r="J368" s="4" t="n"/>
    </row>
    <row r="369">
      <c r="A369" s="2" t="n"/>
      <c r="H369" s="3" t="n"/>
      <c r="I369" s="3" t="n"/>
      <c r="J369" s="4" t="n"/>
    </row>
    <row r="370">
      <c r="A370" s="2" t="n"/>
      <c r="H370" s="3" t="n"/>
      <c r="I370" s="3" t="n"/>
      <c r="J370" s="4" t="n"/>
    </row>
    <row r="371">
      <c r="A371" s="2" t="n"/>
      <c r="H371" s="3" t="n"/>
      <c r="I371" s="3" t="n"/>
      <c r="J371" s="4" t="n"/>
    </row>
    <row r="372">
      <c r="A372" s="2" t="n"/>
      <c r="H372" s="3" t="n"/>
      <c r="I372" s="3" t="n"/>
      <c r="J372" s="4" t="n"/>
    </row>
    <row r="373">
      <c r="A373" s="2" t="n"/>
      <c r="H373" s="3" t="n"/>
      <c r="I373" s="3" t="n"/>
      <c r="J373" s="4" t="n"/>
    </row>
    <row r="374">
      <c r="A374" s="2" t="n"/>
      <c r="H374" s="3" t="n"/>
      <c r="I374" s="3" t="n"/>
      <c r="J374" s="4" t="n"/>
    </row>
    <row r="375">
      <c r="A375" s="2" t="n"/>
      <c r="H375" s="3" t="n"/>
      <c r="I375" s="3" t="n"/>
      <c r="J375" s="4" t="n"/>
    </row>
    <row r="376">
      <c r="A376" s="2" t="n"/>
      <c r="H376" s="3" t="n"/>
      <c r="I376" s="3" t="n"/>
      <c r="J376" s="4" t="n"/>
    </row>
    <row r="377">
      <c r="A377" s="2" t="n"/>
      <c r="H377" s="3" t="n"/>
      <c r="I377" s="3" t="n"/>
      <c r="J377" s="4" t="n"/>
    </row>
    <row r="378">
      <c r="A378" s="2" t="n"/>
      <c r="H378" s="3" t="n"/>
      <c r="I378" s="3" t="n"/>
      <c r="J378" s="4" t="n"/>
    </row>
    <row r="379">
      <c r="A379" s="2" t="n"/>
      <c r="H379" s="3" t="n"/>
      <c r="I379" s="3" t="n"/>
      <c r="J379" s="4" t="n"/>
    </row>
    <row r="380">
      <c r="A380" s="2" t="n"/>
      <c r="H380" s="3" t="n"/>
      <c r="I380" s="3" t="n"/>
      <c r="J380" s="4" t="n"/>
    </row>
    <row r="381">
      <c r="A381" s="2" t="n"/>
      <c r="H381" s="3" t="n"/>
      <c r="I381" s="3" t="n"/>
      <c r="J381" s="4" t="n"/>
    </row>
    <row r="382">
      <c r="A382" s="2" t="n"/>
      <c r="H382" s="3" t="n"/>
      <c r="I382" s="3" t="n"/>
      <c r="J382" s="4" t="n"/>
    </row>
    <row r="383">
      <c r="A383" s="2" t="n"/>
      <c r="H383" s="3" t="n"/>
      <c r="I383" s="3" t="n"/>
      <c r="J383" s="4" t="n"/>
    </row>
    <row r="384">
      <c r="A384" s="2" t="n"/>
      <c r="H384" s="3" t="n"/>
      <c r="I384" s="3" t="n"/>
      <c r="J384" s="4" t="n"/>
    </row>
    <row r="385">
      <c r="A385" s="2" t="n"/>
      <c r="H385" s="3" t="n"/>
      <c r="I385" s="3" t="n"/>
      <c r="J385" s="4" t="n"/>
    </row>
    <row r="386">
      <c r="A386" s="2" t="n"/>
      <c r="H386" s="3" t="n"/>
      <c r="I386" s="3" t="n"/>
      <c r="J386" s="4" t="n"/>
    </row>
    <row r="387">
      <c r="A387" s="2" t="n"/>
      <c r="H387" s="3" t="n"/>
      <c r="I387" s="3" t="n"/>
      <c r="J387" s="4" t="n"/>
    </row>
    <row r="388">
      <c r="A388" s="2" t="n"/>
      <c r="H388" s="3" t="n"/>
      <c r="I388" s="3" t="n"/>
      <c r="J388" s="4" t="n"/>
    </row>
    <row r="389">
      <c r="A389" s="2" t="n"/>
      <c r="H389" s="3" t="n"/>
      <c r="I389" s="3" t="n"/>
      <c r="J389" s="4" t="n"/>
    </row>
    <row r="390">
      <c r="A390" s="2" t="n"/>
      <c r="H390" s="3" t="n"/>
      <c r="I390" s="3" t="n"/>
      <c r="J390" s="4" t="n"/>
    </row>
    <row r="391">
      <c r="A391" s="2" t="n"/>
      <c r="H391" s="3" t="n"/>
      <c r="I391" s="3" t="n"/>
      <c r="J391" s="4" t="n"/>
    </row>
    <row r="392">
      <c r="A392" s="2" t="n"/>
      <c r="H392" s="3" t="n"/>
      <c r="I392" s="3" t="n"/>
      <c r="J392" s="4" t="n"/>
    </row>
    <row r="393">
      <c r="A393" s="2" t="n"/>
      <c r="H393" s="3" t="n"/>
      <c r="I393" s="3" t="n"/>
      <c r="J393" s="4" t="n"/>
    </row>
    <row r="394">
      <c r="A394" s="2" t="n"/>
      <c r="H394" s="3" t="n"/>
      <c r="I394" s="3" t="n"/>
      <c r="J394" s="4" t="n"/>
    </row>
    <row r="395">
      <c r="A395" s="2" t="n"/>
      <c r="H395" s="3" t="n"/>
      <c r="I395" s="3" t="n"/>
      <c r="J395" s="4" t="n"/>
    </row>
    <row r="396">
      <c r="A396" s="2" t="n"/>
      <c r="H396" s="3" t="n"/>
      <c r="I396" s="3" t="n"/>
      <c r="J396" s="4" t="n"/>
    </row>
    <row r="397">
      <c r="A397" s="2" t="n"/>
      <c r="H397" s="3" t="n"/>
      <c r="I397" s="3" t="n"/>
      <c r="J397" s="4" t="n"/>
    </row>
    <row r="398">
      <c r="A398" s="2" t="n"/>
      <c r="H398" s="3" t="n"/>
      <c r="I398" s="3" t="n"/>
      <c r="J398" s="4" t="n"/>
    </row>
    <row r="399">
      <c r="A399" s="2" t="n"/>
      <c r="H399" s="3" t="n"/>
      <c r="I399" s="3" t="n"/>
      <c r="J399" s="4" t="n"/>
    </row>
    <row r="400">
      <c r="A400" s="2" t="n"/>
      <c r="H400" s="3" t="n"/>
      <c r="I400" s="3" t="n"/>
      <c r="J400" s="4" t="n"/>
    </row>
    <row r="401">
      <c r="A401" s="2" t="n"/>
      <c r="H401" s="3" t="n"/>
      <c r="I401" s="3" t="n"/>
      <c r="J401" s="4" t="n"/>
    </row>
    <row r="402">
      <c r="A402" s="2" t="n"/>
      <c r="H402" s="3" t="n"/>
      <c r="I402" s="3" t="n"/>
      <c r="J402" s="4" t="n"/>
    </row>
    <row r="403">
      <c r="A403" s="2" t="n"/>
      <c r="H403" s="3" t="n"/>
      <c r="I403" s="3" t="n"/>
      <c r="J403" s="4" t="n"/>
    </row>
    <row r="404">
      <c r="A404" s="2" t="n"/>
      <c r="H404" s="3" t="n"/>
      <c r="I404" s="3" t="n"/>
      <c r="J404" s="4" t="n"/>
    </row>
    <row r="405">
      <c r="A405" s="2" t="n"/>
      <c r="H405" s="3" t="n"/>
      <c r="I405" s="3" t="n"/>
      <c r="J405" s="4" t="n"/>
    </row>
    <row r="406">
      <c r="A406" s="2" t="n"/>
      <c r="H406" s="3" t="n"/>
      <c r="I406" s="3" t="n"/>
      <c r="J406" s="4" t="n"/>
    </row>
    <row r="407">
      <c r="A407" s="2" t="n"/>
      <c r="H407" s="3" t="n"/>
      <c r="I407" s="3" t="n"/>
      <c r="J407" s="4" t="n"/>
    </row>
    <row r="408">
      <c r="A408" s="2" t="n"/>
      <c r="H408" s="3" t="n"/>
      <c r="I408" s="3" t="n"/>
      <c r="J408" s="4" t="n"/>
    </row>
    <row r="409">
      <c r="A409" s="2" t="n"/>
      <c r="H409" s="3" t="n"/>
      <c r="I409" s="3" t="n"/>
      <c r="J409" s="4" t="n"/>
    </row>
    <row r="410">
      <c r="A410" s="2" t="n"/>
      <c r="H410" s="3" t="n"/>
      <c r="I410" s="3" t="n"/>
      <c r="J410" s="4" t="n"/>
    </row>
    <row r="411">
      <c r="A411" s="2" t="n"/>
      <c r="H411" s="3" t="n"/>
      <c r="I411" s="3" t="n"/>
      <c r="J411" s="4" t="n"/>
    </row>
    <row r="412">
      <c r="A412" s="2" t="n"/>
      <c r="H412" s="3" t="n"/>
      <c r="I412" s="3" t="n"/>
      <c r="J412" s="4" t="n"/>
    </row>
    <row r="413">
      <c r="A413" s="2" t="n"/>
      <c r="H413" s="3" t="n"/>
      <c r="I413" s="3" t="n"/>
      <c r="J413" s="4" t="n"/>
    </row>
    <row r="414">
      <c r="A414" s="2" t="n"/>
      <c r="H414" s="3" t="n"/>
      <c r="I414" s="3" t="n"/>
      <c r="J414" s="4" t="n"/>
    </row>
    <row r="415">
      <c r="A415" s="2" t="n"/>
      <c r="H415" s="3" t="n"/>
      <c r="I415" s="3" t="n"/>
      <c r="J415" s="4" t="n"/>
    </row>
    <row r="416">
      <c r="A416" s="2" t="n"/>
      <c r="H416" s="3" t="n"/>
      <c r="I416" s="3" t="n"/>
      <c r="J416" s="4" t="n"/>
    </row>
    <row r="417">
      <c r="A417" s="2" t="n"/>
      <c r="H417" s="3" t="n"/>
      <c r="I417" s="3" t="n"/>
      <c r="J417" s="4" t="n"/>
    </row>
    <row r="418">
      <c r="A418" s="2" t="n"/>
      <c r="H418" s="3" t="n"/>
      <c r="I418" s="3" t="n"/>
      <c r="J418" s="4" t="n"/>
    </row>
    <row r="419">
      <c r="A419" s="2" t="n"/>
      <c r="H419" s="3" t="n"/>
      <c r="I419" s="3" t="n"/>
      <c r="J419" s="4" t="n"/>
    </row>
    <row r="420">
      <c r="A420" s="2" t="n"/>
      <c r="H420" s="3" t="n"/>
      <c r="I420" s="3" t="n"/>
      <c r="J420" s="4" t="n"/>
    </row>
    <row r="421">
      <c r="A421" s="2" t="n"/>
      <c r="H421" s="3" t="n"/>
      <c r="I421" s="3" t="n"/>
      <c r="J421" s="4" t="n"/>
    </row>
    <row r="422">
      <c r="A422" s="2" t="n"/>
      <c r="H422" s="3" t="n"/>
      <c r="I422" s="3" t="n"/>
      <c r="J422" s="4" t="n"/>
    </row>
    <row r="423">
      <c r="A423" s="2" t="n"/>
      <c r="H423" s="3" t="n"/>
      <c r="I423" s="3" t="n"/>
      <c r="J423" s="4" t="n"/>
    </row>
    <row r="424">
      <c r="A424" s="2" t="n"/>
      <c r="H424" s="3" t="n"/>
      <c r="I424" s="3" t="n"/>
      <c r="J424" s="4" t="n"/>
    </row>
    <row r="425">
      <c r="A425" s="2" t="n"/>
      <c r="H425" s="3" t="n"/>
      <c r="I425" s="3" t="n"/>
      <c r="J425" s="4" t="n"/>
    </row>
    <row r="426">
      <c r="A426" s="2" t="n"/>
      <c r="H426" s="3" t="n"/>
      <c r="I426" s="3" t="n"/>
      <c r="J426" s="4" t="n"/>
    </row>
    <row r="427">
      <c r="A427" s="2" t="n"/>
      <c r="H427" s="3" t="n"/>
      <c r="I427" s="3" t="n"/>
      <c r="J427" s="4" t="n"/>
    </row>
    <row r="428">
      <c r="A428" s="2" t="n"/>
      <c r="H428" s="3" t="n"/>
      <c r="I428" s="3" t="n"/>
      <c r="J428" s="4" t="n"/>
    </row>
    <row r="429">
      <c r="A429" s="2" t="n"/>
      <c r="H429" s="3" t="n"/>
      <c r="I429" s="3" t="n"/>
      <c r="J429" s="4" t="n"/>
    </row>
    <row r="430">
      <c r="A430" s="2" t="n"/>
      <c r="H430" s="3" t="n"/>
      <c r="I430" s="3" t="n"/>
      <c r="J430" s="4" t="n"/>
    </row>
    <row r="431">
      <c r="A431" s="2" t="n"/>
      <c r="H431" s="3" t="n"/>
      <c r="I431" s="3" t="n"/>
      <c r="J431" s="4" t="n"/>
    </row>
    <row r="432">
      <c r="A432" s="2" t="n"/>
      <c r="H432" s="3" t="n"/>
      <c r="I432" s="3" t="n"/>
      <c r="J432" s="4" t="n"/>
    </row>
    <row r="433">
      <c r="A433" s="2" t="n"/>
      <c r="H433" s="3" t="n"/>
      <c r="I433" s="3" t="n"/>
      <c r="J433" s="4" t="n"/>
    </row>
    <row r="434">
      <c r="A434" s="2" t="n"/>
      <c r="H434" s="3" t="n"/>
      <c r="I434" s="3" t="n"/>
      <c r="J434" s="4" t="n"/>
    </row>
    <row r="435">
      <c r="A435" s="2" t="n"/>
      <c r="H435" s="3" t="n"/>
      <c r="I435" s="3" t="n"/>
      <c r="J435" s="4" t="n"/>
    </row>
    <row r="436">
      <c r="A436" s="2" t="n"/>
      <c r="H436" s="3" t="n"/>
      <c r="I436" s="3" t="n"/>
      <c r="J436" s="4" t="n"/>
    </row>
    <row r="437">
      <c r="A437" s="2" t="n"/>
      <c r="H437" s="3" t="n"/>
      <c r="I437" s="3" t="n"/>
      <c r="J437" s="4" t="n"/>
    </row>
    <row r="438">
      <c r="A438" s="2" t="n"/>
      <c r="H438" s="3" t="n"/>
      <c r="I438" s="3" t="n"/>
      <c r="J438" s="4" t="n"/>
    </row>
    <row r="439">
      <c r="A439" s="2" t="n"/>
      <c r="H439" s="3" t="n"/>
      <c r="I439" s="3" t="n"/>
      <c r="J439" s="4" t="n"/>
    </row>
    <row r="440">
      <c r="A440" s="2" t="n"/>
      <c r="H440" s="3" t="n"/>
      <c r="I440" s="3" t="n"/>
      <c r="J440" s="4" t="n"/>
    </row>
    <row r="441">
      <c r="A441" s="2" t="n"/>
      <c r="H441" s="3" t="n"/>
      <c r="I441" s="3" t="n"/>
      <c r="J441" s="4" t="n"/>
    </row>
    <row r="442">
      <c r="A442" s="2" t="n"/>
      <c r="H442" s="3" t="n"/>
      <c r="I442" s="3" t="n"/>
      <c r="J442" s="4" t="n"/>
    </row>
    <row r="443">
      <c r="A443" s="2" t="n"/>
      <c r="H443" s="3" t="n"/>
      <c r="I443" s="3" t="n"/>
      <c r="J443" s="4" t="n"/>
    </row>
    <row r="444">
      <c r="A444" s="2" t="n"/>
      <c r="H444" s="3" t="n"/>
      <c r="I444" s="3" t="n"/>
      <c r="J444" s="4" t="n"/>
    </row>
    <row r="445">
      <c r="A445" s="2" t="n"/>
      <c r="H445" s="3" t="n"/>
      <c r="I445" s="3" t="n"/>
      <c r="J445" s="4" t="n"/>
    </row>
    <row r="446">
      <c r="A446" s="2" t="n"/>
      <c r="H446" s="3" t="n"/>
      <c r="I446" s="3" t="n"/>
      <c r="J446" s="4" t="n"/>
    </row>
    <row r="447">
      <c r="A447" s="2" t="n"/>
      <c r="H447" s="3" t="n"/>
      <c r="I447" s="3" t="n"/>
      <c r="J447" s="4" t="n"/>
    </row>
    <row r="448">
      <c r="A448" s="2" t="n"/>
      <c r="H448" s="3" t="n"/>
      <c r="I448" s="3" t="n"/>
      <c r="J448" s="4" t="n"/>
    </row>
    <row r="449">
      <c r="A449" s="2" t="n"/>
      <c r="H449" s="3" t="n"/>
      <c r="I449" s="3" t="n"/>
      <c r="J449" s="4" t="n"/>
    </row>
    <row r="450">
      <c r="A450" s="2" t="n"/>
      <c r="H450" s="3" t="n"/>
      <c r="I450" s="3" t="n"/>
      <c r="J450" s="4" t="n"/>
    </row>
    <row r="451">
      <c r="A451" s="2" t="n"/>
      <c r="H451" s="3" t="n"/>
      <c r="I451" s="3" t="n"/>
      <c r="J451" s="4" t="n"/>
    </row>
    <row r="452">
      <c r="A452" s="2" t="n"/>
      <c r="H452" s="3" t="n"/>
      <c r="I452" s="3" t="n"/>
      <c r="J452" s="4" t="n"/>
    </row>
    <row r="453">
      <c r="A453" s="2" t="n"/>
      <c r="H453" s="3" t="n"/>
      <c r="I453" s="3" t="n"/>
      <c r="J453" s="4" t="n"/>
    </row>
    <row r="454">
      <c r="A454" s="2" t="n"/>
      <c r="H454" s="3" t="n"/>
      <c r="I454" s="3" t="n"/>
      <c r="J454" s="4" t="n"/>
    </row>
    <row r="455">
      <c r="A455" s="2" t="n"/>
      <c r="H455" s="3" t="n"/>
      <c r="I455" s="3" t="n"/>
      <c r="J455" s="4" t="n"/>
    </row>
    <row r="456">
      <c r="A456" s="2" t="n"/>
      <c r="H456" s="3" t="n"/>
      <c r="I456" s="3" t="n"/>
      <c r="J456" s="4" t="n"/>
    </row>
    <row r="457">
      <c r="A457" s="2" t="n"/>
      <c r="H457" s="3" t="n"/>
      <c r="I457" s="3" t="n"/>
      <c r="J457" s="4" t="n"/>
    </row>
    <row r="458">
      <c r="A458" s="2" t="n"/>
      <c r="H458" s="3" t="n"/>
      <c r="I458" s="3" t="n"/>
      <c r="J458" s="4" t="n"/>
    </row>
    <row r="459">
      <c r="A459" s="2" t="n"/>
      <c r="H459" s="3" t="n"/>
      <c r="I459" s="3" t="n"/>
      <c r="J459" s="4" t="n"/>
    </row>
    <row r="460">
      <c r="A460" s="2" t="n"/>
      <c r="H460" s="3" t="n"/>
      <c r="I460" s="3" t="n"/>
      <c r="J460" s="4" t="n"/>
    </row>
    <row r="461">
      <c r="A461" s="2" t="n"/>
      <c r="H461" s="3" t="n"/>
      <c r="I461" s="3" t="n"/>
      <c r="J461" s="4" t="n"/>
    </row>
    <row r="462">
      <c r="A462" s="2" t="n"/>
      <c r="H462" s="3" t="n"/>
      <c r="I462" s="3" t="n"/>
      <c r="J462" s="4" t="n"/>
    </row>
    <row r="463">
      <c r="A463" s="2" t="n"/>
      <c r="H463" s="3" t="n"/>
      <c r="I463" s="3" t="n"/>
      <c r="J463" s="4" t="n"/>
    </row>
    <row r="464">
      <c r="A464" s="2" t="n"/>
      <c r="H464" s="3" t="n"/>
      <c r="I464" s="3" t="n"/>
      <c r="J464" s="4" t="n"/>
    </row>
    <row r="465">
      <c r="A465" s="2" t="n"/>
      <c r="H465" s="3" t="n"/>
      <c r="I465" s="3" t="n"/>
      <c r="J465" s="4" t="n"/>
    </row>
    <row r="466">
      <c r="A466" s="2" t="n"/>
      <c r="H466" s="3" t="n"/>
      <c r="I466" s="3" t="n"/>
      <c r="J466" s="4" t="n"/>
    </row>
    <row r="467">
      <c r="A467" s="2" t="n"/>
      <c r="H467" s="3" t="n"/>
      <c r="I467" s="3" t="n"/>
      <c r="J467" s="4" t="n"/>
    </row>
    <row r="468">
      <c r="A468" s="2" t="n"/>
      <c r="H468" s="3" t="n"/>
      <c r="I468" s="3" t="n"/>
      <c r="J468" s="4" t="n"/>
    </row>
    <row r="469">
      <c r="A469" s="2" t="n"/>
      <c r="H469" s="3" t="n"/>
      <c r="I469" s="3" t="n"/>
      <c r="J469" s="4" t="n"/>
    </row>
    <row r="470">
      <c r="A470" s="2" t="n"/>
      <c r="H470" s="3" t="n"/>
      <c r="I470" s="3" t="n"/>
      <c r="J470" s="4" t="n"/>
    </row>
    <row r="471">
      <c r="A471" s="2" t="n"/>
      <c r="H471" s="3" t="n"/>
      <c r="I471" s="3" t="n"/>
      <c r="J471" s="4" t="n"/>
    </row>
    <row r="472">
      <c r="A472" s="2" t="n"/>
      <c r="H472" s="3" t="n"/>
      <c r="I472" s="3" t="n"/>
      <c r="J472" s="4" t="n"/>
    </row>
    <row r="473">
      <c r="A473" s="2" t="n"/>
      <c r="H473" s="3" t="n"/>
      <c r="I473" s="3" t="n"/>
      <c r="J473" s="4" t="n"/>
    </row>
    <row r="474">
      <c r="A474" s="2" t="n"/>
      <c r="H474" s="3" t="n"/>
      <c r="I474" s="3" t="n"/>
      <c r="J474" s="4" t="n"/>
    </row>
    <row r="475">
      <c r="A475" s="2" t="n"/>
      <c r="H475" s="3" t="n"/>
      <c r="I475" s="3" t="n"/>
      <c r="J475" s="4" t="n"/>
    </row>
    <row r="476">
      <c r="A476" s="2" t="n"/>
      <c r="H476" s="3" t="n"/>
      <c r="I476" s="3" t="n"/>
      <c r="J476" s="4" t="n"/>
    </row>
    <row r="477">
      <c r="A477" s="2" t="n"/>
      <c r="H477" s="3" t="n"/>
      <c r="I477" s="3" t="n"/>
      <c r="J477" s="4" t="n"/>
    </row>
    <row r="478">
      <c r="A478" s="2" t="n"/>
      <c r="H478" s="3" t="n"/>
      <c r="I478" s="3" t="n"/>
      <c r="J478" s="4" t="n"/>
    </row>
    <row r="479">
      <c r="A479" s="2" t="n"/>
      <c r="H479" s="3" t="n"/>
      <c r="I479" s="3" t="n"/>
      <c r="J479" s="4" t="n"/>
    </row>
    <row r="480">
      <c r="A480" s="2" t="n"/>
      <c r="H480" s="3" t="n"/>
      <c r="I480" s="3" t="n"/>
      <c r="J480" s="4" t="n"/>
    </row>
    <row r="481">
      <c r="A481" s="2" t="n"/>
      <c r="H481" s="3" t="n"/>
      <c r="I481" s="3" t="n"/>
      <c r="J481" s="4" t="n"/>
    </row>
    <row r="482">
      <c r="A482" s="2" t="n"/>
      <c r="H482" s="3" t="n"/>
      <c r="I482" s="3" t="n"/>
      <c r="J482" s="4" t="n"/>
    </row>
    <row r="483">
      <c r="A483" s="2" t="n"/>
      <c r="H483" s="3" t="n"/>
      <c r="I483" s="3" t="n"/>
      <c r="J483" s="4" t="n"/>
    </row>
    <row r="484">
      <c r="A484" s="2" t="n"/>
      <c r="H484" s="3" t="n"/>
      <c r="I484" s="3" t="n"/>
      <c r="J484" s="4" t="n"/>
    </row>
    <row r="485">
      <c r="A485" s="2" t="n"/>
      <c r="H485" s="3" t="n"/>
      <c r="I485" s="3" t="n"/>
      <c r="J485" s="4" t="n"/>
    </row>
    <row r="486">
      <c r="A486" s="2" t="n"/>
      <c r="H486" s="3" t="n"/>
      <c r="I486" s="3" t="n"/>
      <c r="J486" s="4" t="n"/>
    </row>
    <row r="487">
      <c r="A487" s="2" t="n"/>
      <c r="H487" s="3" t="n"/>
      <c r="I487" s="3" t="n"/>
      <c r="J487" s="4" t="n"/>
    </row>
    <row r="488">
      <c r="A488" s="2" t="n"/>
      <c r="H488" s="3" t="n"/>
      <c r="I488" s="3" t="n"/>
      <c r="J488" s="4" t="n"/>
    </row>
    <row r="489">
      <c r="A489" s="2" t="n"/>
      <c r="H489" s="3" t="n"/>
      <c r="I489" s="3" t="n"/>
      <c r="J489" s="4" t="n"/>
    </row>
    <row r="490">
      <c r="A490" s="2" t="n"/>
      <c r="H490" s="3" t="n"/>
      <c r="I490" s="3" t="n"/>
      <c r="J490" s="4" t="n"/>
    </row>
    <row r="491">
      <c r="A491" s="2" t="n"/>
      <c r="H491" s="3" t="n"/>
      <c r="I491" s="3" t="n"/>
      <c r="J491" s="4" t="n"/>
    </row>
    <row r="492">
      <c r="A492" s="2" t="n"/>
      <c r="H492" s="3" t="n"/>
      <c r="I492" s="3" t="n"/>
      <c r="J492" s="4" t="n"/>
    </row>
    <row r="493">
      <c r="A493" s="2" t="n"/>
      <c r="H493" s="3" t="n"/>
      <c r="I493" s="3" t="n"/>
      <c r="J493" s="4" t="n"/>
    </row>
    <row r="494">
      <c r="A494" s="2" t="n"/>
      <c r="H494" s="3" t="n"/>
      <c r="I494" s="3" t="n"/>
      <c r="J494" s="4" t="n"/>
    </row>
    <row r="495">
      <c r="A495" s="2" t="n"/>
      <c r="H495" s="3" t="n"/>
      <c r="I495" s="3" t="n"/>
      <c r="J495" s="4" t="n"/>
    </row>
    <row r="496">
      <c r="A496" s="2" t="n"/>
      <c r="H496" s="3" t="n"/>
      <c r="I496" s="3" t="n"/>
      <c r="J496" s="4" t="n"/>
    </row>
    <row r="497">
      <c r="A497" s="2" t="n"/>
      <c r="H497" s="3" t="n"/>
      <c r="I497" s="3" t="n"/>
      <c r="J497" s="4" t="n"/>
    </row>
    <row r="498">
      <c r="A498" s="2" t="n"/>
      <c r="H498" s="3" t="n"/>
      <c r="I498" s="3" t="n"/>
      <c r="J498" s="4" t="n"/>
    </row>
    <row r="499">
      <c r="A499" s="2" t="n"/>
      <c r="H499" s="3" t="n"/>
      <c r="I499" s="3" t="n"/>
      <c r="J499" s="4" t="n"/>
    </row>
    <row r="500">
      <c r="A500" s="2" t="n"/>
      <c r="H500" s="3" t="n"/>
      <c r="I500" s="3" t="n"/>
      <c r="J500" s="4" t="n"/>
    </row>
    <row r="501">
      <c r="A501" s="2" t="n"/>
      <c r="H501" s="3" t="n"/>
      <c r="I501" s="3" t="n"/>
      <c r="J501" s="4" t="n"/>
    </row>
  </sheetData>
  <autoFilter ref="A1:L5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4" customWidth="1" min="4" max="4"/>
    <col width="15" customWidth="1" min="5" max="5"/>
  </cols>
  <sheetData>
    <row r="1">
      <c r="A1" s="1" t="inlineStr">
        <is>
          <t>Code</t>
        </is>
      </c>
      <c r="B1" s="1" t="inlineStr">
        <is>
          <t>Project Name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Created Date</t>
        </is>
      </c>
    </row>
    <row r="2">
      <c r="A2" t="inlineStr">
        <is>
          <t>PRJ-1</t>
        </is>
      </c>
      <c r="B2" s="5" t="inlineStr">
        <is>
          <t>Backend</t>
        </is>
      </c>
      <c r="C2" t="inlineStr">
        <is>
          <t>Update tool dagster</t>
        </is>
      </c>
      <c r="D2" s="2" t="inlineStr">
        <is>
          <t>Active</t>
        </is>
      </c>
      <c r="E2" s="2" t="n">
        <v>46225</v>
      </c>
    </row>
    <row r="3">
      <c r="D3" s="2" t="n"/>
    </row>
    <row r="4">
      <c r="D4" s="2" t="n"/>
    </row>
    <row r="5">
      <c r="D5" s="2" t="n"/>
    </row>
    <row r="6">
      <c r="D6" s="2" t="n"/>
    </row>
    <row r="7">
      <c r="D7" s="2" t="n"/>
    </row>
    <row r="8">
      <c r="D8" s="2" t="n"/>
    </row>
    <row r="9">
      <c r="D9" s="2" t="n"/>
    </row>
    <row r="10"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2">
      <c r="D202" s="2" t="n"/>
    </row>
    <row r="203">
      <c r="D203" s="2" t="n"/>
    </row>
    <row r="204">
      <c r="D204" s="2" t="n"/>
    </row>
    <row r="205">
      <c r="D205" s="2" t="n"/>
    </row>
    <row r="206">
      <c r="D206" s="2" t="n"/>
    </row>
    <row r="207">
      <c r="D207" s="2" t="n"/>
    </row>
    <row r="208">
      <c r="D208" s="2" t="n"/>
    </row>
    <row r="209">
      <c r="D209" s="2" t="n"/>
    </row>
    <row r="210">
      <c r="D210" s="2" t="n"/>
    </row>
    <row r="211">
      <c r="D211" s="2" t="n"/>
    </row>
    <row r="212">
      <c r="D212" s="2" t="n"/>
    </row>
    <row r="213">
      <c r="D213" s="2" t="n"/>
    </row>
    <row r="214">
      <c r="D214" s="2" t="n"/>
    </row>
    <row r="215">
      <c r="D215" s="2" t="n"/>
    </row>
    <row r="216">
      <c r="D216" s="2" t="n"/>
    </row>
    <row r="217">
      <c r="D217" s="2" t="n"/>
    </row>
    <row r="218">
      <c r="D218" s="2" t="n"/>
    </row>
    <row r="219">
      <c r="D219" s="2" t="n"/>
    </row>
    <row r="220">
      <c r="D220" s="2" t="n"/>
    </row>
    <row r="221">
      <c r="D221" s="2" t="n"/>
    </row>
    <row r="222">
      <c r="D222" s="2" t="n"/>
    </row>
    <row r="223">
      <c r="D223" s="2" t="n"/>
    </row>
    <row r="224">
      <c r="D224" s="2" t="n"/>
    </row>
    <row r="225">
      <c r="D225" s="2" t="n"/>
    </row>
    <row r="226">
      <c r="D226" s="2" t="n"/>
    </row>
    <row r="227">
      <c r="D227" s="2" t="n"/>
    </row>
    <row r="228">
      <c r="D228" s="2" t="n"/>
    </row>
    <row r="229">
      <c r="D229" s="2" t="n"/>
    </row>
    <row r="230">
      <c r="D230" s="2" t="n"/>
    </row>
    <row r="231">
      <c r="D231" s="2" t="n"/>
    </row>
    <row r="232">
      <c r="D232" s="2" t="n"/>
    </row>
    <row r="233">
      <c r="D233" s="2" t="n"/>
    </row>
    <row r="234">
      <c r="D234" s="2" t="n"/>
    </row>
    <row r="235">
      <c r="D235" s="2" t="n"/>
    </row>
    <row r="236">
      <c r="D236" s="2" t="n"/>
    </row>
    <row r="237">
      <c r="D237" s="2" t="n"/>
    </row>
    <row r="238">
      <c r="D238" s="2" t="n"/>
    </row>
    <row r="239">
      <c r="D239" s="2" t="n"/>
    </row>
    <row r="240">
      <c r="D240" s="2" t="n"/>
    </row>
    <row r="241">
      <c r="D241" s="2" t="n"/>
    </row>
    <row r="242">
      <c r="D242" s="2" t="n"/>
    </row>
    <row r="243">
      <c r="D243" s="2" t="n"/>
    </row>
    <row r="244">
      <c r="D244" s="2" t="n"/>
    </row>
    <row r="245">
      <c r="D245" s="2" t="n"/>
    </row>
    <row r="246">
      <c r="D246" s="2" t="n"/>
    </row>
    <row r="247">
      <c r="D247" s="2" t="n"/>
    </row>
    <row r="248">
      <c r="D248" s="2" t="n"/>
    </row>
    <row r="249">
      <c r="D249" s="2" t="n"/>
    </row>
    <row r="250">
      <c r="D250" s="2" t="n"/>
    </row>
    <row r="251">
      <c r="D251" s="2" t="n"/>
    </row>
    <row r="252">
      <c r="D252" s="2" t="n"/>
    </row>
    <row r="253">
      <c r="D253" s="2" t="n"/>
    </row>
    <row r="254">
      <c r="D254" s="2" t="n"/>
    </row>
    <row r="255">
      <c r="D255" s="2" t="n"/>
    </row>
    <row r="256">
      <c r="D256" s="2" t="n"/>
    </row>
    <row r="257">
      <c r="D257" s="2" t="n"/>
    </row>
    <row r="258">
      <c r="D258" s="2" t="n"/>
    </row>
    <row r="259">
      <c r="D259" s="2" t="n"/>
    </row>
    <row r="260">
      <c r="D260" s="2" t="n"/>
    </row>
    <row r="261">
      <c r="D261" s="2" t="n"/>
    </row>
    <row r="262">
      <c r="D262" s="2" t="n"/>
    </row>
    <row r="263">
      <c r="D263" s="2" t="n"/>
    </row>
    <row r="264">
      <c r="D264" s="2" t="n"/>
    </row>
    <row r="265">
      <c r="D265" s="2" t="n"/>
    </row>
    <row r="266">
      <c r="D266" s="2" t="n"/>
    </row>
    <row r="267">
      <c r="D267" s="2" t="n"/>
    </row>
    <row r="268">
      <c r="D268" s="2" t="n"/>
    </row>
    <row r="269">
      <c r="D269" s="2" t="n"/>
    </row>
    <row r="270">
      <c r="D270" s="2" t="n"/>
    </row>
    <row r="271">
      <c r="D271" s="2" t="n"/>
    </row>
    <row r="272">
      <c r="D272" s="2" t="n"/>
    </row>
    <row r="273">
      <c r="D273" s="2" t="n"/>
    </row>
    <row r="274">
      <c r="D274" s="2" t="n"/>
    </row>
    <row r="275">
      <c r="D275" s="2" t="n"/>
    </row>
    <row r="276">
      <c r="D276" s="2" t="n"/>
    </row>
    <row r="277">
      <c r="D277" s="2" t="n"/>
    </row>
    <row r="278">
      <c r="D278" s="2" t="n"/>
    </row>
    <row r="279">
      <c r="D279" s="2" t="n"/>
    </row>
    <row r="280">
      <c r="D280" s="2" t="n"/>
    </row>
    <row r="281">
      <c r="D281" s="2" t="n"/>
    </row>
    <row r="282">
      <c r="D282" s="2" t="n"/>
    </row>
    <row r="283">
      <c r="D283" s="2" t="n"/>
    </row>
    <row r="284">
      <c r="D284" s="2" t="n"/>
    </row>
    <row r="285">
      <c r="D285" s="2" t="n"/>
    </row>
    <row r="286">
      <c r="D286" s="2" t="n"/>
    </row>
    <row r="287">
      <c r="D287" s="2" t="n"/>
    </row>
    <row r="288">
      <c r="D288" s="2" t="n"/>
    </row>
    <row r="289">
      <c r="D289" s="2" t="n"/>
    </row>
    <row r="290">
      <c r="D290" s="2" t="n"/>
    </row>
    <row r="291">
      <c r="D291" s="2" t="n"/>
    </row>
    <row r="292">
      <c r="D292" s="2" t="n"/>
    </row>
    <row r="293">
      <c r="D293" s="2" t="n"/>
    </row>
    <row r="294">
      <c r="D294" s="2" t="n"/>
    </row>
    <row r="295">
      <c r="D295" s="2" t="n"/>
    </row>
    <row r="296">
      <c r="D296" s="2" t="n"/>
    </row>
    <row r="297">
      <c r="D297" s="2" t="n"/>
    </row>
    <row r="298">
      <c r="D298" s="2" t="n"/>
    </row>
    <row r="299">
      <c r="D299" s="2" t="n"/>
    </row>
    <row r="300">
      <c r="D300" s="2" t="n"/>
    </row>
    <row r="301">
      <c r="D301" s="2" t="n"/>
    </row>
    <row r="302">
      <c r="D302" s="2" t="n"/>
    </row>
    <row r="303">
      <c r="D303" s="2" t="n"/>
    </row>
    <row r="304">
      <c r="D304" s="2" t="n"/>
    </row>
    <row r="305">
      <c r="D305" s="2" t="n"/>
    </row>
    <row r="306">
      <c r="D306" s="2" t="n"/>
    </row>
    <row r="307">
      <c r="D307" s="2" t="n"/>
    </row>
    <row r="308">
      <c r="D308" s="2" t="n"/>
    </row>
    <row r="309">
      <c r="D309" s="2" t="n"/>
    </row>
    <row r="310">
      <c r="D310" s="2" t="n"/>
    </row>
    <row r="311">
      <c r="D311" s="2" t="n"/>
    </row>
    <row r="312">
      <c r="D312" s="2" t="n"/>
    </row>
    <row r="313">
      <c r="D313" s="2" t="n"/>
    </row>
    <row r="314">
      <c r="D314" s="2" t="n"/>
    </row>
    <row r="315">
      <c r="D315" s="2" t="n"/>
    </row>
    <row r="316">
      <c r="D316" s="2" t="n"/>
    </row>
    <row r="317">
      <c r="D317" s="2" t="n"/>
    </row>
    <row r="318">
      <c r="D318" s="2" t="n"/>
    </row>
    <row r="319">
      <c r="D319" s="2" t="n"/>
    </row>
    <row r="320">
      <c r="D320" s="2" t="n"/>
    </row>
    <row r="321">
      <c r="D321" s="2" t="n"/>
    </row>
    <row r="322">
      <c r="D322" s="2" t="n"/>
    </row>
    <row r="323">
      <c r="D323" s="2" t="n"/>
    </row>
    <row r="324">
      <c r="D324" s="2" t="n"/>
    </row>
    <row r="325">
      <c r="D325" s="2" t="n"/>
    </row>
    <row r="326">
      <c r="D326" s="2" t="n"/>
    </row>
    <row r="327">
      <c r="D327" s="2" t="n"/>
    </row>
    <row r="328">
      <c r="D328" s="2" t="n"/>
    </row>
    <row r="329">
      <c r="D329" s="2" t="n"/>
    </row>
    <row r="330">
      <c r="D330" s="2" t="n"/>
    </row>
    <row r="331">
      <c r="D331" s="2" t="n"/>
    </row>
    <row r="332">
      <c r="D332" s="2" t="n"/>
    </row>
    <row r="333">
      <c r="D333" s="2" t="n"/>
    </row>
    <row r="334">
      <c r="D334" s="2" t="n"/>
    </row>
    <row r="335">
      <c r="D335" s="2" t="n"/>
    </row>
    <row r="336">
      <c r="D336" s="2" t="n"/>
    </row>
    <row r="337">
      <c r="D337" s="2" t="n"/>
    </row>
    <row r="338">
      <c r="D338" s="2" t="n"/>
    </row>
    <row r="339">
      <c r="D339" s="2" t="n"/>
    </row>
    <row r="340">
      <c r="D340" s="2" t="n"/>
    </row>
    <row r="341">
      <c r="D341" s="2" t="n"/>
    </row>
    <row r="342">
      <c r="D342" s="2" t="n"/>
    </row>
    <row r="343">
      <c r="D343" s="2" t="n"/>
    </row>
    <row r="344">
      <c r="D344" s="2" t="n"/>
    </row>
    <row r="345">
      <c r="D345" s="2" t="n"/>
    </row>
    <row r="346">
      <c r="D346" s="2" t="n"/>
    </row>
    <row r="347">
      <c r="D347" s="2" t="n"/>
    </row>
    <row r="348">
      <c r="D348" s="2" t="n"/>
    </row>
    <row r="349">
      <c r="D349" s="2" t="n"/>
    </row>
    <row r="350">
      <c r="D350" s="2" t="n"/>
    </row>
    <row r="351">
      <c r="D351" s="2" t="n"/>
    </row>
    <row r="352">
      <c r="D352" s="2" t="n"/>
    </row>
    <row r="353">
      <c r="D353" s="2" t="n"/>
    </row>
    <row r="354">
      <c r="D354" s="2" t="n"/>
    </row>
    <row r="355">
      <c r="D355" s="2" t="n"/>
    </row>
    <row r="356">
      <c r="D356" s="2" t="n"/>
    </row>
    <row r="357">
      <c r="D357" s="2" t="n"/>
    </row>
    <row r="358">
      <c r="D358" s="2" t="n"/>
    </row>
    <row r="359">
      <c r="D359" s="2" t="n"/>
    </row>
    <row r="360">
      <c r="D360" s="2" t="n"/>
    </row>
    <row r="361">
      <c r="D361" s="2" t="n"/>
    </row>
    <row r="362">
      <c r="D362" s="2" t="n"/>
    </row>
    <row r="363">
      <c r="D363" s="2" t="n"/>
    </row>
    <row r="364">
      <c r="D364" s="2" t="n"/>
    </row>
    <row r="365">
      <c r="D365" s="2" t="n"/>
    </row>
    <row r="366">
      <c r="D366" s="2" t="n"/>
    </row>
    <row r="367">
      <c r="D367" s="2" t="n"/>
    </row>
    <row r="368">
      <c r="D368" s="2" t="n"/>
    </row>
    <row r="369">
      <c r="D369" s="2" t="n"/>
    </row>
    <row r="370">
      <c r="D370" s="2" t="n"/>
    </row>
    <row r="371">
      <c r="D371" s="2" t="n"/>
    </row>
    <row r="372">
      <c r="D372" s="2" t="n"/>
    </row>
    <row r="373">
      <c r="D373" s="2" t="n"/>
    </row>
    <row r="374">
      <c r="D374" s="2" t="n"/>
    </row>
    <row r="375">
      <c r="D375" s="2" t="n"/>
    </row>
    <row r="376">
      <c r="D376" s="2" t="n"/>
    </row>
    <row r="377">
      <c r="D377" s="2" t="n"/>
    </row>
    <row r="378">
      <c r="D378" s="2" t="n"/>
    </row>
    <row r="379">
      <c r="D379" s="2" t="n"/>
    </row>
    <row r="380">
      <c r="D380" s="2" t="n"/>
    </row>
    <row r="381">
      <c r="D381" s="2" t="n"/>
    </row>
    <row r="382">
      <c r="D382" s="2" t="n"/>
    </row>
    <row r="383">
      <c r="D383" s="2" t="n"/>
    </row>
    <row r="384">
      <c r="D384" s="2" t="n"/>
    </row>
    <row r="385">
      <c r="D385" s="2" t="n"/>
    </row>
    <row r="386">
      <c r="D386" s="2" t="n"/>
    </row>
    <row r="387">
      <c r="D387" s="2" t="n"/>
    </row>
    <row r="388">
      <c r="D388" s="2" t="n"/>
    </row>
    <row r="389">
      <c r="D389" s="2" t="n"/>
    </row>
    <row r="390">
      <c r="D390" s="2" t="n"/>
    </row>
    <row r="391">
      <c r="D391" s="2" t="n"/>
    </row>
    <row r="392">
      <c r="D392" s="2" t="n"/>
    </row>
    <row r="393">
      <c r="D393" s="2" t="n"/>
    </row>
    <row r="394">
      <c r="D394" s="2" t="n"/>
    </row>
    <row r="395">
      <c r="D395" s="2" t="n"/>
    </row>
    <row r="396">
      <c r="D396" s="2" t="n"/>
    </row>
    <row r="397">
      <c r="D397" s="2" t="n"/>
    </row>
    <row r="398">
      <c r="D398" s="2" t="n"/>
    </row>
    <row r="399">
      <c r="D399" s="2" t="n"/>
    </row>
    <row r="400">
      <c r="D400" s="2" t="n"/>
    </row>
    <row r="401">
      <c r="D401" s="2" t="n"/>
    </row>
    <row r="402">
      <c r="D402" s="2" t="n"/>
    </row>
    <row r="403">
      <c r="D403" s="2" t="n"/>
    </row>
    <row r="404">
      <c r="D404" s="2" t="n"/>
    </row>
    <row r="405">
      <c r="D405" s="2" t="n"/>
    </row>
    <row r="406">
      <c r="D406" s="2" t="n"/>
    </row>
    <row r="407">
      <c r="D407" s="2" t="n"/>
    </row>
    <row r="408">
      <c r="D408" s="2" t="n"/>
    </row>
    <row r="409">
      <c r="D409" s="2" t="n"/>
    </row>
    <row r="410">
      <c r="D410" s="2" t="n"/>
    </row>
    <row r="411">
      <c r="D411" s="2" t="n"/>
    </row>
    <row r="412">
      <c r="D412" s="2" t="n"/>
    </row>
    <row r="413">
      <c r="D413" s="2" t="n"/>
    </row>
    <row r="414">
      <c r="D414" s="2" t="n"/>
    </row>
    <row r="415">
      <c r="D415" s="2" t="n"/>
    </row>
    <row r="416">
      <c r="D416" s="2" t="n"/>
    </row>
    <row r="417">
      <c r="D417" s="2" t="n"/>
    </row>
    <row r="418">
      <c r="D418" s="2" t="n"/>
    </row>
    <row r="419">
      <c r="D419" s="2" t="n"/>
    </row>
    <row r="420">
      <c r="D420" s="2" t="n"/>
    </row>
    <row r="421">
      <c r="D421" s="2" t="n"/>
    </row>
    <row r="422">
      <c r="D422" s="2" t="n"/>
    </row>
    <row r="423">
      <c r="D423" s="2" t="n"/>
    </row>
    <row r="424">
      <c r="D424" s="2" t="n"/>
    </row>
    <row r="425">
      <c r="D425" s="2" t="n"/>
    </row>
    <row r="426">
      <c r="D426" s="2" t="n"/>
    </row>
    <row r="427">
      <c r="D427" s="2" t="n"/>
    </row>
    <row r="428">
      <c r="D428" s="2" t="n"/>
    </row>
    <row r="429">
      <c r="D429" s="2" t="n"/>
    </row>
    <row r="430">
      <c r="D430" s="2" t="n"/>
    </row>
    <row r="431">
      <c r="D431" s="2" t="n"/>
    </row>
    <row r="432">
      <c r="D432" s="2" t="n"/>
    </row>
    <row r="433">
      <c r="D433" s="2" t="n"/>
    </row>
    <row r="434">
      <c r="D434" s="2" t="n"/>
    </row>
    <row r="435">
      <c r="D435" s="2" t="n"/>
    </row>
    <row r="436">
      <c r="D436" s="2" t="n"/>
    </row>
    <row r="437">
      <c r="D437" s="2" t="n"/>
    </row>
    <row r="438">
      <c r="D438" s="2" t="n"/>
    </row>
    <row r="439">
      <c r="D439" s="2" t="n"/>
    </row>
    <row r="440">
      <c r="D440" s="2" t="n"/>
    </row>
    <row r="441">
      <c r="D441" s="2" t="n"/>
    </row>
    <row r="442">
      <c r="D442" s="2" t="n"/>
    </row>
    <row r="443">
      <c r="D443" s="2" t="n"/>
    </row>
    <row r="444">
      <c r="D444" s="2" t="n"/>
    </row>
    <row r="445">
      <c r="D445" s="2" t="n"/>
    </row>
    <row r="446">
      <c r="D446" s="2" t="n"/>
    </row>
    <row r="447">
      <c r="D447" s="2" t="n"/>
    </row>
    <row r="448">
      <c r="D448" s="2" t="n"/>
    </row>
    <row r="449">
      <c r="D449" s="2" t="n"/>
    </row>
    <row r="450">
      <c r="D450" s="2" t="n"/>
    </row>
    <row r="451">
      <c r="D451" s="2" t="n"/>
    </row>
    <row r="452">
      <c r="D452" s="2" t="n"/>
    </row>
    <row r="453">
      <c r="D453" s="2" t="n"/>
    </row>
    <row r="454">
      <c r="D454" s="2" t="n"/>
    </row>
    <row r="455">
      <c r="D455" s="2" t="n"/>
    </row>
    <row r="456">
      <c r="D456" s="2" t="n"/>
    </row>
    <row r="457">
      <c r="D457" s="2" t="n"/>
    </row>
    <row r="458">
      <c r="D458" s="2" t="n"/>
    </row>
    <row r="459">
      <c r="D459" s="2" t="n"/>
    </row>
    <row r="460">
      <c r="D460" s="2" t="n"/>
    </row>
    <row r="461">
      <c r="D461" s="2" t="n"/>
    </row>
    <row r="462">
      <c r="D462" s="2" t="n"/>
    </row>
    <row r="463">
      <c r="D463" s="2" t="n"/>
    </row>
    <row r="464">
      <c r="D464" s="2" t="n"/>
    </row>
    <row r="465">
      <c r="D465" s="2" t="n"/>
    </row>
    <row r="466">
      <c r="D466" s="2" t="n"/>
    </row>
    <row r="467">
      <c r="D467" s="2" t="n"/>
    </row>
    <row r="468">
      <c r="D468" s="2" t="n"/>
    </row>
    <row r="469">
      <c r="D469" s="2" t="n"/>
    </row>
    <row r="470">
      <c r="D470" s="2" t="n"/>
    </row>
    <row r="471">
      <c r="D471" s="2" t="n"/>
    </row>
    <row r="472">
      <c r="D472" s="2" t="n"/>
    </row>
    <row r="473">
      <c r="D473" s="2" t="n"/>
    </row>
    <row r="474">
      <c r="D474" s="2" t="n"/>
    </row>
    <row r="475">
      <c r="D475" s="2" t="n"/>
    </row>
    <row r="476">
      <c r="D476" s="2" t="n"/>
    </row>
    <row r="477">
      <c r="D477" s="2" t="n"/>
    </row>
    <row r="478">
      <c r="D478" s="2" t="n"/>
    </row>
    <row r="479">
      <c r="D479" s="2" t="n"/>
    </row>
    <row r="480">
      <c r="D480" s="2" t="n"/>
    </row>
    <row r="481">
      <c r="D481" s="2" t="n"/>
    </row>
    <row r="482">
      <c r="D482" s="2" t="n"/>
    </row>
    <row r="483">
      <c r="D483" s="2" t="n"/>
    </row>
    <row r="484">
      <c r="D484" s="2" t="n"/>
    </row>
    <row r="485">
      <c r="D485" s="2" t="n"/>
    </row>
    <row r="486">
      <c r="D486" s="2" t="n"/>
    </row>
    <row r="487">
      <c r="D487" s="2" t="n"/>
    </row>
    <row r="488">
      <c r="D488" s="2" t="n"/>
    </row>
    <row r="489">
      <c r="D489" s="2" t="n"/>
    </row>
    <row r="490">
      <c r="D490" s="2" t="n"/>
    </row>
    <row r="491">
      <c r="D491" s="2" t="n"/>
    </row>
    <row r="492">
      <c r="D492" s="2" t="n"/>
    </row>
    <row r="493">
      <c r="D493" s="2" t="n"/>
    </row>
    <row r="494">
      <c r="D494" s="2" t="n"/>
    </row>
    <row r="495">
      <c r="D495" s="2" t="n"/>
    </row>
    <row r="496">
      <c r="D496" s="2" t="n"/>
    </row>
    <row r="497">
      <c r="D497" s="2" t="n"/>
    </row>
    <row r="498">
      <c r="D498" s="2" t="n"/>
    </row>
    <row r="499">
      <c r="D499" s="2" t="n"/>
    </row>
    <row r="500">
      <c r="D500" s="2" t="n"/>
    </row>
    <row r="501">
      <c r="D50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6" customWidth="1" min="5" max="5"/>
    <col width="14" customWidth="1" min="6" max="6"/>
    <col width="16" customWidth="1" min="7" max="7"/>
    <col width="16" customWidth="1" min="8" max="8"/>
    <col width="40" customWidth="1" min="9" max="9"/>
  </cols>
  <sheetData>
    <row r="1">
      <c r="A1" s="1" t="inlineStr">
        <is>
          <t>Code</t>
        </is>
      </c>
      <c r="B1" s="1" t="inlineStr">
        <is>
          <t>Father Task</t>
        </is>
      </c>
      <c r="C1" s="1" t="inlineStr">
        <is>
          <t>Project</t>
        </is>
      </c>
      <c r="D1" s="1" t="inlineStr">
        <is>
          <t>Date</t>
        </is>
      </c>
      <c r="E1" s="1" t="inlineStr">
        <is>
          <t>Deadline (days)</t>
        </is>
      </c>
      <c r="F1" s="1" t="inlineStr">
        <is>
          <t>Deadline (h)</t>
        </is>
      </c>
      <c r="G1" s="1" t="inlineStr">
        <is>
          <t>Status</t>
        </is>
      </c>
      <c r="H1" s="1" t="inlineStr">
        <is>
          <t>Completed Date</t>
        </is>
      </c>
      <c r="I1" s="1" t="inlineStr">
        <is>
          <t>Notes</t>
        </is>
      </c>
    </row>
    <row r="2">
      <c r="A2" t="inlineStr">
        <is>
          <t>PRJ-1-KPI-1</t>
        </is>
      </c>
      <c r="B2" s="5" t="inlineStr">
        <is>
          <t>Benchmark update</t>
        </is>
      </c>
      <c r="C2" t="inlineStr">
        <is>
          <t>Backend</t>
        </is>
      </c>
      <c r="D2" s="2" t="n">
        <v>46225</v>
      </c>
      <c r="E2" t="n">
        <v>1</v>
      </c>
      <c r="F2" s="6">
        <f>IF(E2&lt;&gt;"",E2*7.5,"")</f>
        <v/>
      </c>
      <c r="G2" t="inlineStr">
        <is>
          <t>Done</t>
        </is>
      </c>
      <c r="H2" s="2" t="n">
        <v>46226</v>
      </c>
    </row>
    <row r="3">
      <c r="A3" t="inlineStr">
        <is>
          <t>PRJ-1-KPI-2</t>
        </is>
      </c>
      <c r="B3" t="inlineStr">
        <is>
          <t>Report</t>
        </is>
      </c>
      <c r="C3" t="inlineStr">
        <is>
          <t>Backend</t>
        </is>
      </c>
      <c r="D3" s="2" t="n">
        <v>46226</v>
      </c>
      <c r="E3" t="n">
        <v>1</v>
      </c>
      <c r="F3" s="6">
        <f>IF(E3&lt;&gt;"",E3*7.5,"")</f>
        <v/>
      </c>
      <c r="G3" t="inlineStr">
        <is>
          <t>In Progress</t>
        </is>
      </c>
      <c r="H3" s="2" t="n"/>
    </row>
    <row r="4">
      <c r="D4" s="2" t="n"/>
      <c r="F4" s="6" t="n"/>
      <c r="H4" s="2" t="n"/>
    </row>
    <row r="5">
      <c r="D5" s="2" t="n"/>
      <c r="F5" s="6" t="n"/>
      <c r="H5" s="2" t="n"/>
    </row>
    <row r="6">
      <c r="D6" s="2" t="n"/>
      <c r="F6" s="6" t="n"/>
      <c r="H6" s="2" t="n"/>
    </row>
    <row r="7">
      <c r="D7" s="2" t="n"/>
      <c r="F7" s="6" t="n"/>
      <c r="H7" s="2" t="n"/>
    </row>
    <row r="8">
      <c r="D8" s="2" t="n"/>
      <c r="F8" s="6" t="n"/>
      <c r="H8" s="2" t="n"/>
    </row>
    <row r="9">
      <c r="D9" s="2" t="n"/>
      <c r="F9" s="6" t="n"/>
      <c r="H9" s="2" t="n"/>
    </row>
    <row r="10">
      <c r="D10" s="2" t="n"/>
      <c r="F10" s="6" t="n"/>
      <c r="H10" s="2" t="n"/>
    </row>
    <row r="11">
      <c r="D11" s="2" t="n"/>
      <c r="F11" s="6" t="n"/>
      <c r="H11" s="2" t="n"/>
    </row>
    <row r="12">
      <c r="D12" s="2" t="n"/>
      <c r="F12" s="6" t="n"/>
      <c r="H12" s="2" t="n"/>
    </row>
    <row r="13">
      <c r="D13" s="2" t="n"/>
      <c r="F13" s="6" t="n"/>
      <c r="H13" s="2" t="n"/>
    </row>
    <row r="14">
      <c r="D14" s="2" t="n"/>
      <c r="F14" s="6" t="n"/>
      <c r="H14" s="2" t="n"/>
    </row>
    <row r="15">
      <c r="D15" s="2" t="n"/>
      <c r="F15" s="6" t="n"/>
      <c r="H15" s="2" t="n"/>
    </row>
    <row r="16">
      <c r="D16" s="2" t="n"/>
      <c r="F16" s="6" t="n"/>
      <c r="H16" s="2" t="n"/>
    </row>
    <row r="17">
      <c r="D17" s="2" t="n"/>
      <c r="F17" s="6" t="n"/>
      <c r="H17" s="2" t="n"/>
    </row>
    <row r="18">
      <c r="D18" s="2" t="n"/>
      <c r="F18" s="6" t="n"/>
      <c r="H18" s="2" t="n"/>
    </row>
    <row r="19">
      <c r="D19" s="2" t="n"/>
      <c r="F19" s="6" t="n"/>
      <c r="H19" s="2" t="n"/>
    </row>
    <row r="20">
      <c r="D20" s="2" t="n"/>
      <c r="F20" s="6" t="n"/>
      <c r="H20" s="2" t="n"/>
    </row>
    <row r="21">
      <c r="D21" s="2" t="n"/>
      <c r="F21" s="6" t="n"/>
      <c r="H21" s="2" t="n"/>
    </row>
    <row r="22">
      <c r="D22" s="2" t="n"/>
      <c r="F22" s="6" t="n"/>
      <c r="H22" s="2" t="n"/>
    </row>
    <row r="23">
      <c r="D23" s="2" t="n"/>
      <c r="F23" s="6" t="n"/>
      <c r="H23" s="2" t="n"/>
    </row>
    <row r="24">
      <c r="D24" s="2" t="n"/>
      <c r="F24" s="6" t="n"/>
      <c r="H24" s="2" t="n"/>
    </row>
    <row r="25">
      <c r="D25" s="2" t="n"/>
      <c r="F25" s="6" t="n"/>
      <c r="H25" s="2" t="n"/>
    </row>
    <row r="26">
      <c r="D26" s="2" t="n"/>
      <c r="F26" s="6" t="n"/>
      <c r="H26" s="2" t="n"/>
    </row>
    <row r="27">
      <c r="D27" s="2" t="n"/>
      <c r="F27" s="6" t="n"/>
      <c r="H27" s="2" t="n"/>
    </row>
    <row r="28">
      <c r="D28" s="2" t="n"/>
      <c r="F28" s="6" t="n"/>
      <c r="H28" s="2" t="n"/>
    </row>
    <row r="29">
      <c r="D29" s="2" t="n"/>
      <c r="F29" s="6" t="n"/>
      <c r="H29" s="2" t="n"/>
    </row>
    <row r="30">
      <c r="D30" s="2" t="n"/>
      <c r="F30" s="6" t="n"/>
      <c r="H30" s="2" t="n"/>
    </row>
    <row r="31">
      <c r="D31" s="2" t="n"/>
      <c r="F31" s="6" t="n"/>
      <c r="H31" s="2" t="n"/>
    </row>
    <row r="32">
      <c r="D32" s="2" t="n"/>
      <c r="F32" s="6" t="n"/>
      <c r="H32" s="2" t="n"/>
    </row>
    <row r="33">
      <c r="D33" s="2" t="n"/>
      <c r="F33" s="6" t="n"/>
      <c r="H33" s="2" t="n"/>
    </row>
    <row r="34">
      <c r="D34" s="2" t="n"/>
      <c r="F34" s="6" t="n"/>
      <c r="H34" s="2" t="n"/>
    </row>
    <row r="35">
      <c r="D35" s="2" t="n"/>
      <c r="F35" s="6" t="n"/>
      <c r="H35" s="2" t="n"/>
    </row>
    <row r="36">
      <c r="D36" s="2" t="n"/>
      <c r="F36" s="6" t="n"/>
      <c r="H36" s="2" t="n"/>
    </row>
    <row r="37">
      <c r="D37" s="2" t="n"/>
      <c r="F37" s="6" t="n"/>
      <c r="H37" s="2" t="n"/>
    </row>
    <row r="38">
      <c r="D38" s="2" t="n"/>
      <c r="F38" s="6" t="n"/>
      <c r="H38" s="2" t="n"/>
    </row>
    <row r="39">
      <c r="D39" s="2" t="n"/>
      <c r="F39" s="6" t="n"/>
      <c r="H39" s="2" t="n"/>
    </row>
    <row r="40">
      <c r="D40" s="2" t="n"/>
      <c r="F40" s="6" t="n"/>
      <c r="H40" s="2" t="n"/>
    </row>
    <row r="41">
      <c r="D41" s="2" t="n"/>
      <c r="F41" s="6" t="n"/>
      <c r="H41" s="2" t="n"/>
    </row>
    <row r="42">
      <c r="D42" s="2" t="n"/>
      <c r="F42" s="6" t="n"/>
      <c r="H42" s="2" t="n"/>
    </row>
    <row r="43">
      <c r="D43" s="2" t="n"/>
      <c r="F43" s="6" t="n"/>
      <c r="H43" s="2" t="n"/>
    </row>
    <row r="44">
      <c r="D44" s="2" t="n"/>
      <c r="F44" s="6" t="n"/>
      <c r="H44" s="2" t="n"/>
    </row>
    <row r="45">
      <c r="D45" s="2" t="n"/>
      <c r="F45" s="6" t="n"/>
      <c r="H45" s="2" t="n"/>
    </row>
    <row r="46">
      <c r="D46" s="2" t="n"/>
      <c r="F46" s="6" t="n"/>
      <c r="H46" s="2" t="n"/>
    </row>
    <row r="47">
      <c r="D47" s="2" t="n"/>
      <c r="F47" s="6" t="n"/>
      <c r="H47" s="2" t="n"/>
    </row>
    <row r="48">
      <c r="D48" s="2" t="n"/>
      <c r="F48" s="6" t="n"/>
      <c r="H48" s="2" t="n"/>
    </row>
    <row r="49">
      <c r="D49" s="2" t="n"/>
      <c r="F49" s="6" t="n"/>
      <c r="H49" s="2" t="n"/>
    </row>
    <row r="50">
      <c r="D50" s="2" t="n"/>
      <c r="F50" s="6" t="n"/>
      <c r="H50" s="2" t="n"/>
    </row>
    <row r="51">
      <c r="D51" s="2" t="n"/>
      <c r="F51" s="6" t="n"/>
      <c r="H51" s="2" t="n"/>
    </row>
    <row r="52">
      <c r="D52" s="2" t="n"/>
      <c r="F52" s="6" t="n"/>
      <c r="H52" s="2" t="n"/>
    </row>
    <row r="53">
      <c r="D53" s="2" t="n"/>
      <c r="F53" s="6" t="n"/>
      <c r="H53" s="2" t="n"/>
    </row>
    <row r="54">
      <c r="D54" s="2" t="n"/>
      <c r="F54" s="6" t="n"/>
      <c r="H54" s="2" t="n"/>
    </row>
    <row r="55">
      <c r="D55" s="2" t="n"/>
      <c r="F55" s="6" t="n"/>
      <c r="H55" s="2" t="n"/>
    </row>
    <row r="56">
      <c r="D56" s="2" t="n"/>
      <c r="F56" s="6" t="n"/>
      <c r="H56" s="2" t="n"/>
    </row>
    <row r="57">
      <c r="D57" s="2" t="n"/>
      <c r="F57" s="6" t="n"/>
      <c r="H57" s="2" t="n"/>
    </row>
    <row r="58">
      <c r="D58" s="2" t="n"/>
      <c r="F58" s="6" t="n"/>
      <c r="H58" s="2" t="n"/>
    </row>
    <row r="59">
      <c r="D59" s="2" t="n"/>
      <c r="F59" s="6" t="n"/>
      <c r="H59" s="2" t="n"/>
    </row>
    <row r="60">
      <c r="D60" s="2" t="n"/>
      <c r="F60" s="6" t="n"/>
      <c r="H60" s="2" t="n"/>
    </row>
    <row r="61">
      <c r="D61" s="2" t="n"/>
      <c r="F61" s="6" t="n"/>
      <c r="H61" s="2" t="n"/>
    </row>
    <row r="62">
      <c r="D62" s="2" t="n"/>
      <c r="F62" s="6" t="n"/>
      <c r="H62" s="2" t="n"/>
    </row>
    <row r="63">
      <c r="D63" s="2" t="n"/>
      <c r="F63" s="6" t="n"/>
      <c r="H63" s="2" t="n"/>
    </row>
    <row r="64">
      <c r="D64" s="2" t="n"/>
      <c r="F64" s="6" t="n"/>
      <c r="H64" s="2" t="n"/>
    </row>
    <row r="65">
      <c r="D65" s="2" t="n"/>
      <c r="F65" s="6" t="n"/>
      <c r="H65" s="2" t="n"/>
    </row>
    <row r="66">
      <c r="D66" s="2" t="n"/>
      <c r="F66" s="6" t="n"/>
      <c r="H66" s="2" t="n"/>
    </row>
    <row r="67">
      <c r="D67" s="2" t="n"/>
      <c r="F67" s="6" t="n"/>
      <c r="H67" s="2" t="n"/>
    </row>
    <row r="68">
      <c r="D68" s="2" t="n"/>
      <c r="F68" s="6" t="n"/>
      <c r="H68" s="2" t="n"/>
    </row>
    <row r="69">
      <c r="D69" s="2" t="n"/>
      <c r="F69" s="6" t="n"/>
      <c r="H69" s="2" t="n"/>
    </row>
    <row r="70">
      <c r="D70" s="2" t="n"/>
      <c r="F70" s="6" t="n"/>
      <c r="H70" s="2" t="n"/>
    </row>
    <row r="71">
      <c r="D71" s="2" t="n"/>
      <c r="F71" s="6" t="n"/>
      <c r="H71" s="2" t="n"/>
    </row>
    <row r="72">
      <c r="D72" s="2" t="n"/>
      <c r="F72" s="6" t="n"/>
      <c r="H72" s="2" t="n"/>
    </row>
    <row r="73">
      <c r="D73" s="2" t="n"/>
      <c r="F73" s="6" t="n"/>
      <c r="H73" s="2" t="n"/>
    </row>
    <row r="74">
      <c r="D74" s="2" t="n"/>
      <c r="F74" s="6" t="n"/>
      <c r="H74" s="2" t="n"/>
    </row>
    <row r="75">
      <c r="D75" s="2" t="n"/>
      <c r="F75" s="6" t="n"/>
      <c r="H75" s="2" t="n"/>
    </row>
    <row r="76">
      <c r="D76" s="2" t="n"/>
      <c r="F76" s="6" t="n"/>
      <c r="H76" s="2" t="n"/>
    </row>
    <row r="77">
      <c r="D77" s="2" t="n"/>
      <c r="F77" s="6" t="n"/>
      <c r="H77" s="2" t="n"/>
    </row>
    <row r="78">
      <c r="D78" s="2" t="n"/>
      <c r="F78" s="6" t="n"/>
      <c r="H78" s="2" t="n"/>
    </row>
    <row r="79">
      <c r="D79" s="2" t="n"/>
      <c r="F79" s="6" t="n"/>
      <c r="H79" s="2" t="n"/>
    </row>
    <row r="80">
      <c r="D80" s="2" t="n"/>
      <c r="F80" s="6" t="n"/>
      <c r="H80" s="2" t="n"/>
    </row>
    <row r="81">
      <c r="D81" s="2" t="n"/>
      <c r="F81" s="6" t="n"/>
      <c r="H81" s="2" t="n"/>
    </row>
    <row r="82">
      <c r="D82" s="2" t="n"/>
      <c r="F82" s="6" t="n"/>
      <c r="H82" s="2" t="n"/>
    </row>
    <row r="83">
      <c r="D83" s="2" t="n"/>
      <c r="F83" s="6" t="n"/>
      <c r="H83" s="2" t="n"/>
    </row>
    <row r="84">
      <c r="D84" s="2" t="n"/>
      <c r="F84" s="6" t="n"/>
      <c r="H84" s="2" t="n"/>
    </row>
    <row r="85">
      <c r="D85" s="2" t="n"/>
      <c r="F85" s="6" t="n"/>
      <c r="H85" s="2" t="n"/>
    </row>
    <row r="86">
      <c r="D86" s="2" t="n"/>
      <c r="F86" s="6" t="n"/>
      <c r="H86" s="2" t="n"/>
    </row>
    <row r="87">
      <c r="D87" s="2" t="n"/>
      <c r="F87" s="6" t="n"/>
      <c r="H87" s="2" t="n"/>
    </row>
    <row r="88">
      <c r="D88" s="2" t="n"/>
      <c r="F88" s="6" t="n"/>
      <c r="H88" s="2" t="n"/>
    </row>
    <row r="89">
      <c r="D89" s="2" t="n"/>
      <c r="F89" s="6" t="n"/>
      <c r="H89" s="2" t="n"/>
    </row>
    <row r="90">
      <c r="D90" s="2" t="n"/>
      <c r="F90" s="6" t="n"/>
      <c r="H90" s="2" t="n"/>
    </row>
    <row r="91">
      <c r="D91" s="2" t="n"/>
      <c r="F91" s="6" t="n"/>
      <c r="H91" s="2" t="n"/>
    </row>
    <row r="92">
      <c r="D92" s="2" t="n"/>
      <c r="F92" s="6" t="n"/>
      <c r="H92" s="2" t="n"/>
    </row>
    <row r="93">
      <c r="D93" s="2" t="n"/>
      <c r="F93" s="6" t="n"/>
      <c r="H93" s="2" t="n"/>
    </row>
    <row r="94">
      <c r="D94" s="2" t="n"/>
      <c r="F94" s="6" t="n"/>
      <c r="H94" s="2" t="n"/>
    </row>
    <row r="95">
      <c r="D95" s="2" t="n"/>
      <c r="F95" s="6" t="n"/>
      <c r="H95" s="2" t="n"/>
    </row>
    <row r="96">
      <c r="D96" s="2" t="n"/>
      <c r="F96" s="6" t="n"/>
      <c r="H96" s="2" t="n"/>
    </row>
    <row r="97">
      <c r="D97" s="2" t="n"/>
      <c r="F97" s="6" t="n"/>
      <c r="H97" s="2" t="n"/>
    </row>
    <row r="98">
      <c r="D98" s="2" t="n"/>
      <c r="F98" s="6" t="n"/>
      <c r="H98" s="2" t="n"/>
    </row>
    <row r="99">
      <c r="D99" s="2" t="n"/>
      <c r="F99" s="6" t="n"/>
      <c r="H99" s="2" t="n"/>
    </row>
    <row r="100">
      <c r="D100" s="2" t="n"/>
      <c r="F100" s="6" t="n"/>
      <c r="H100" s="2" t="n"/>
    </row>
    <row r="101">
      <c r="D101" s="2" t="n"/>
      <c r="F101" s="6" t="n"/>
      <c r="H101" s="2" t="n"/>
    </row>
    <row r="102">
      <c r="D102" s="2" t="n"/>
      <c r="F102" s="6" t="n"/>
      <c r="H102" s="2" t="n"/>
    </row>
    <row r="103">
      <c r="D103" s="2" t="n"/>
      <c r="F103" s="6" t="n"/>
      <c r="H103" s="2" t="n"/>
    </row>
    <row r="104">
      <c r="D104" s="2" t="n"/>
      <c r="F104" s="6" t="n"/>
      <c r="H104" s="2" t="n"/>
    </row>
    <row r="105">
      <c r="D105" s="2" t="n"/>
      <c r="F105" s="6" t="n"/>
      <c r="H105" s="2" t="n"/>
    </row>
    <row r="106">
      <c r="D106" s="2" t="n"/>
      <c r="F106" s="6" t="n"/>
      <c r="H106" s="2" t="n"/>
    </row>
    <row r="107">
      <c r="D107" s="2" t="n"/>
      <c r="F107" s="6" t="n"/>
      <c r="H107" s="2" t="n"/>
    </row>
    <row r="108">
      <c r="D108" s="2" t="n"/>
      <c r="F108" s="6" t="n"/>
      <c r="H108" s="2" t="n"/>
    </row>
    <row r="109">
      <c r="D109" s="2" t="n"/>
      <c r="F109" s="6" t="n"/>
      <c r="H109" s="2" t="n"/>
    </row>
    <row r="110">
      <c r="D110" s="2" t="n"/>
      <c r="F110" s="6" t="n"/>
      <c r="H110" s="2" t="n"/>
    </row>
    <row r="111">
      <c r="D111" s="2" t="n"/>
      <c r="F111" s="6" t="n"/>
      <c r="H111" s="2" t="n"/>
    </row>
    <row r="112">
      <c r="D112" s="2" t="n"/>
      <c r="F112" s="6" t="n"/>
      <c r="H112" s="2" t="n"/>
    </row>
    <row r="113">
      <c r="D113" s="2" t="n"/>
      <c r="F113" s="6" t="n"/>
      <c r="H113" s="2" t="n"/>
    </row>
    <row r="114">
      <c r="D114" s="2" t="n"/>
      <c r="F114" s="6" t="n"/>
      <c r="H114" s="2" t="n"/>
    </row>
    <row r="115">
      <c r="D115" s="2" t="n"/>
      <c r="F115" s="6" t="n"/>
      <c r="H115" s="2" t="n"/>
    </row>
    <row r="116">
      <c r="D116" s="2" t="n"/>
      <c r="F116" s="6" t="n"/>
      <c r="H116" s="2" t="n"/>
    </row>
    <row r="117">
      <c r="D117" s="2" t="n"/>
      <c r="F117" s="6" t="n"/>
      <c r="H117" s="2" t="n"/>
    </row>
    <row r="118">
      <c r="D118" s="2" t="n"/>
      <c r="F118" s="6" t="n"/>
      <c r="H118" s="2" t="n"/>
    </row>
    <row r="119">
      <c r="D119" s="2" t="n"/>
      <c r="F119" s="6" t="n"/>
      <c r="H119" s="2" t="n"/>
    </row>
    <row r="120">
      <c r="D120" s="2" t="n"/>
      <c r="F120" s="6" t="n"/>
      <c r="H120" s="2" t="n"/>
    </row>
    <row r="121">
      <c r="D121" s="2" t="n"/>
      <c r="F121" s="6" t="n"/>
      <c r="H121" s="2" t="n"/>
    </row>
    <row r="122">
      <c r="D122" s="2" t="n"/>
      <c r="F122" s="6" t="n"/>
      <c r="H122" s="2" t="n"/>
    </row>
    <row r="123">
      <c r="D123" s="2" t="n"/>
      <c r="F123" s="6" t="n"/>
      <c r="H123" s="2" t="n"/>
    </row>
    <row r="124">
      <c r="D124" s="2" t="n"/>
      <c r="F124" s="6" t="n"/>
      <c r="H124" s="2" t="n"/>
    </row>
    <row r="125">
      <c r="D125" s="2" t="n"/>
      <c r="F125" s="6" t="n"/>
      <c r="H125" s="2" t="n"/>
    </row>
    <row r="126">
      <c r="D126" s="2" t="n"/>
      <c r="F126" s="6" t="n"/>
      <c r="H126" s="2" t="n"/>
    </row>
    <row r="127">
      <c r="D127" s="2" t="n"/>
      <c r="F127" s="6" t="n"/>
      <c r="H127" s="2" t="n"/>
    </row>
    <row r="128">
      <c r="D128" s="2" t="n"/>
      <c r="F128" s="6" t="n"/>
      <c r="H128" s="2" t="n"/>
    </row>
    <row r="129">
      <c r="D129" s="2" t="n"/>
      <c r="F129" s="6" t="n"/>
      <c r="H129" s="2" t="n"/>
    </row>
    <row r="130">
      <c r="D130" s="2" t="n"/>
      <c r="F130" s="6" t="n"/>
      <c r="H130" s="2" t="n"/>
    </row>
    <row r="131">
      <c r="D131" s="2" t="n"/>
      <c r="F131" s="6" t="n"/>
      <c r="H131" s="2" t="n"/>
    </row>
    <row r="132">
      <c r="D132" s="2" t="n"/>
      <c r="F132" s="6" t="n"/>
      <c r="H132" s="2" t="n"/>
    </row>
    <row r="133">
      <c r="D133" s="2" t="n"/>
      <c r="F133" s="6" t="n"/>
      <c r="H133" s="2" t="n"/>
    </row>
    <row r="134">
      <c r="D134" s="2" t="n"/>
      <c r="F134" s="6" t="n"/>
      <c r="H134" s="2" t="n"/>
    </row>
    <row r="135">
      <c r="D135" s="2" t="n"/>
      <c r="F135" s="6" t="n"/>
      <c r="H135" s="2" t="n"/>
    </row>
    <row r="136">
      <c r="D136" s="2" t="n"/>
      <c r="F136" s="6" t="n"/>
      <c r="H136" s="2" t="n"/>
    </row>
    <row r="137">
      <c r="D137" s="2" t="n"/>
      <c r="F137" s="6" t="n"/>
      <c r="H137" s="2" t="n"/>
    </row>
    <row r="138">
      <c r="D138" s="2" t="n"/>
      <c r="F138" s="6" t="n"/>
      <c r="H138" s="2" t="n"/>
    </row>
    <row r="139">
      <c r="D139" s="2" t="n"/>
      <c r="F139" s="6" t="n"/>
      <c r="H139" s="2" t="n"/>
    </row>
    <row r="140">
      <c r="D140" s="2" t="n"/>
      <c r="F140" s="6" t="n"/>
      <c r="H140" s="2" t="n"/>
    </row>
    <row r="141">
      <c r="D141" s="2" t="n"/>
      <c r="F141" s="6" t="n"/>
      <c r="H141" s="2" t="n"/>
    </row>
    <row r="142">
      <c r="D142" s="2" t="n"/>
      <c r="F142" s="6" t="n"/>
      <c r="H142" s="2" t="n"/>
    </row>
    <row r="143">
      <c r="D143" s="2" t="n"/>
      <c r="F143" s="6" t="n"/>
      <c r="H143" s="2" t="n"/>
    </row>
    <row r="144">
      <c r="D144" s="2" t="n"/>
      <c r="F144" s="6" t="n"/>
      <c r="H144" s="2" t="n"/>
    </row>
    <row r="145">
      <c r="D145" s="2" t="n"/>
      <c r="F145" s="6" t="n"/>
      <c r="H145" s="2" t="n"/>
    </row>
    <row r="146">
      <c r="D146" s="2" t="n"/>
      <c r="F146" s="6" t="n"/>
      <c r="H146" s="2" t="n"/>
    </row>
    <row r="147">
      <c r="D147" s="2" t="n"/>
      <c r="F147" s="6" t="n"/>
      <c r="H147" s="2" t="n"/>
    </row>
    <row r="148">
      <c r="D148" s="2" t="n"/>
      <c r="F148" s="6" t="n"/>
      <c r="H148" s="2" t="n"/>
    </row>
    <row r="149">
      <c r="D149" s="2" t="n"/>
      <c r="F149" s="6" t="n"/>
      <c r="H149" s="2" t="n"/>
    </row>
    <row r="150">
      <c r="D150" s="2" t="n"/>
      <c r="F150" s="6" t="n"/>
      <c r="H150" s="2" t="n"/>
    </row>
    <row r="151">
      <c r="D151" s="2" t="n"/>
      <c r="F151" s="6" t="n"/>
      <c r="H151" s="2" t="n"/>
    </row>
    <row r="152">
      <c r="D152" s="2" t="n"/>
      <c r="F152" s="6" t="n"/>
      <c r="H152" s="2" t="n"/>
    </row>
    <row r="153">
      <c r="D153" s="2" t="n"/>
      <c r="F153" s="6" t="n"/>
      <c r="H153" s="2" t="n"/>
    </row>
    <row r="154">
      <c r="D154" s="2" t="n"/>
      <c r="F154" s="6" t="n"/>
      <c r="H154" s="2" t="n"/>
    </row>
    <row r="155">
      <c r="D155" s="2" t="n"/>
      <c r="F155" s="6" t="n"/>
      <c r="H155" s="2" t="n"/>
    </row>
    <row r="156">
      <c r="D156" s="2" t="n"/>
      <c r="F156" s="6" t="n"/>
      <c r="H156" s="2" t="n"/>
    </row>
    <row r="157">
      <c r="D157" s="2" t="n"/>
      <c r="F157" s="6" t="n"/>
      <c r="H157" s="2" t="n"/>
    </row>
    <row r="158">
      <c r="D158" s="2" t="n"/>
      <c r="F158" s="6" t="n"/>
      <c r="H158" s="2" t="n"/>
    </row>
    <row r="159">
      <c r="D159" s="2" t="n"/>
      <c r="F159" s="6" t="n"/>
      <c r="H159" s="2" t="n"/>
    </row>
    <row r="160">
      <c r="D160" s="2" t="n"/>
      <c r="F160" s="6" t="n"/>
      <c r="H160" s="2" t="n"/>
    </row>
    <row r="161">
      <c r="D161" s="2" t="n"/>
      <c r="F161" s="6" t="n"/>
      <c r="H161" s="2" t="n"/>
    </row>
    <row r="162">
      <c r="D162" s="2" t="n"/>
      <c r="F162" s="6" t="n"/>
      <c r="H162" s="2" t="n"/>
    </row>
    <row r="163">
      <c r="D163" s="2" t="n"/>
      <c r="F163" s="6" t="n"/>
      <c r="H163" s="2" t="n"/>
    </row>
    <row r="164">
      <c r="D164" s="2" t="n"/>
      <c r="F164" s="6" t="n"/>
      <c r="H164" s="2" t="n"/>
    </row>
    <row r="165">
      <c r="D165" s="2" t="n"/>
      <c r="F165" s="6" t="n"/>
      <c r="H165" s="2" t="n"/>
    </row>
    <row r="166">
      <c r="D166" s="2" t="n"/>
      <c r="F166" s="6" t="n"/>
      <c r="H166" s="2" t="n"/>
    </row>
    <row r="167">
      <c r="D167" s="2" t="n"/>
      <c r="F167" s="6" t="n"/>
      <c r="H167" s="2" t="n"/>
    </row>
    <row r="168">
      <c r="D168" s="2" t="n"/>
      <c r="F168" s="6" t="n"/>
      <c r="H168" s="2" t="n"/>
    </row>
    <row r="169">
      <c r="D169" s="2" t="n"/>
      <c r="F169" s="6" t="n"/>
      <c r="H169" s="2" t="n"/>
    </row>
    <row r="170">
      <c r="D170" s="2" t="n"/>
      <c r="F170" s="6" t="n"/>
      <c r="H170" s="2" t="n"/>
    </row>
    <row r="171">
      <c r="D171" s="2" t="n"/>
      <c r="F171" s="6" t="n"/>
      <c r="H171" s="2" t="n"/>
    </row>
    <row r="172">
      <c r="D172" s="2" t="n"/>
      <c r="F172" s="6" t="n"/>
      <c r="H172" s="2" t="n"/>
    </row>
    <row r="173">
      <c r="D173" s="2" t="n"/>
      <c r="F173" s="6" t="n"/>
      <c r="H173" s="2" t="n"/>
    </row>
    <row r="174">
      <c r="D174" s="2" t="n"/>
      <c r="F174" s="6" t="n"/>
      <c r="H174" s="2" t="n"/>
    </row>
    <row r="175">
      <c r="D175" s="2" t="n"/>
      <c r="F175" s="6" t="n"/>
      <c r="H175" s="2" t="n"/>
    </row>
    <row r="176">
      <c r="D176" s="2" t="n"/>
      <c r="F176" s="6" t="n"/>
      <c r="H176" s="2" t="n"/>
    </row>
    <row r="177">
      <c r="D177" s="2" t="n"/>
      <c r="F177" s="6" t="n"/>
      <c r="H177" s="2" t="n"/>
    </row>
    <row r="178">
      <c r="D178" s="2" t="n"/>
      <c r="F178" s="6" t="n"/>
      <c r="H178" s="2" t="n"/>
    </row>
    <row r="179">
      <c r="D179" s="2" t="n"/>
      <c r="F179" s="6" t="n"/>
      <c r="H179" s="2" t="n"/>
    </row>
    <row r="180">
      <c r="D180" s="2" t="n"/>
      <c r="F180" s="6" t="n"/>
      <c r="H180" s="2" t="n"/>
    </row>
    <row r="181">
      <c r="D181" s="2" t="n"/>
      <c r="F181" s="6" t="n"/>
      <c r="H181" s="2" t="n"/>
    </row>
    <row r="182">
      <c r="D182" s="2" t="n"/>
      <c r="F182" s="6" t="n"/>
      <c r="H182" s="2" t="n"/>
    </row>
    <row r="183">
      <c r="D183" s="2" t="n"/>
      <c r="F183" s="6" t="n"/>
      <c r="H183" s="2" t="n"/>
    </row>
    <row r="184">
      <c r="D184" s="2" t="n"/>
      <c r="F184" s="6" t="n"/>
      <c r="H184" s="2" t="n"/>
    </row>
    <row r="185">
      <c r="D185" s="2" t="n"/>
      <c r="F185" s="6" t="n"/>
      <c r="H185" s="2" t="n"/>
    </row>
    <row r="186">
      <c r="D186" s="2" t="n"/>
      <c r="F186" s="6" t="n"/>
      <c r="H186" s="2" t="n"/>
    </row>
    <row r="187">
      <c r="D187" s="2" t="n"/>
      <c r="F187" s="6" t="n"/>
      <c r="H187" s="2" t="n"/>
    </row>
    <row r="188">
      <c r="D188" s="2" t="n"/>
      <c r="F188" s="6" t="n"/>
      <c r="H188" s="2" t="n"/>
    </row>
    <row r="189">
      <c r="D189" s="2" t="n"/>
      <c r="F189" s="6" t="n"/>
      <c r="H189" s="2" t="n"/>
    </row>
    <row r="190">
      <c r="D190" s="2" t="n"/>
      <c r="F190" s="6" t="n"/>
      <c r="H190" s="2" t="n"/>
    </row>
    <row r="191">
      <c r="D191" s="2" t="n"/>
      <c r="F191" s="6" t="n"/>
      <c r="H191" s="2" t="n"/>
    </row>
    <row r="192">
      <c r="D192" s="2" t="n"/>
      <c r="F192" s="6" t="n"/>
      <c r="H192" s="2" t="n"/>
    </row>
    <row r="193">
      <c r="D193" s="2" t="n"/>
      <c r="F193" s="6" t="n"/>
      <c r="H193" s="2" t="n"/>
    </row>
    <row r="194">
      <c r="D194" s="2" t="n"/>
      <c r="F194" s="6" t="n"/>
      <c r="H194" s="2" t="n"/>
    </row>
    <row r="195">
      <c r="D195" s="2" t="n"/>
      <c r="F195" s="6" t="n"/>
      <c r="H195" s="2" t="n"/>
    </row>
    <row r="196">
      <c r="D196" s="2" t="n"/>
      <c r="F196" s="6" t="n"/>
      <c r="H196" s="2" t="n"/>
    </row>
    <row r="197">
      <c r="D197" s="2" t="n"/>
      <c r="F197" s="6" t="n"/>
      <c r="H197" s="2" t="n"/>
    </row>
    <row r="198">
      <c r="D198" s="2" t="n"/>
      <c r="F198" s="6" t="n"/>
      <c r="H198" s="2" t="n"/>
    </row>
    <row r="199">
      <c r="D199" s="2" t="n"/>
      <c r="F199" s="6" t="n"/>
      <c r="H199" s="2" t="n"/>
    </row>
    <row r="200">
      <c r="D200" s="2" t="n"/>
      <c r="F200" s="6" t="n"/>
      <c r="H200" s="2" t="n"/>
    </row>
    <row r="201">
      <c r="D201" s="2" t="n"/>
      <c r="F201" s="6" t="n"/>
      <c r="H201" s="2" t="n"/>
    </row>
    <row r="202">
      <c r="D202" s="2" t="n"/>
      <c r="F202" s="6" t="n"/>
      <c r="H202" s="2" t="n"/>
    </row>
    <row r="203">
      <c r="D203" s="2" t="n"/>
      <c r="F203" s="6" t="n"/>
      <c r="H203" s="2" t="n"/>
    </row>
    <row r="204">
      <c r="D204" s="2" t="n"/>
      <c r="F204" s="6" t="n"/>
      <c r="H204" s="2" t="n"/>
    </row>
    <row r="205">
      <c r="D205" s="2" t="n"/>
      <c r="F205" s="6" t="n"/>
      <c r="H205" s="2" t="n"/>
    </row>
    <row r="206">
      <c r="D206" s="2" t="n"/>
      <c r="F206" s="6" t="n"/>
      <c r="H206" s="2" t="n"/>
    </row>
    <row r="207">
      <c r="D207" s="2" t="n"/>
      <c r="F207" s="6" t="n"/>
      <c r="H207" s="2" t="n"/>
    </row>
    <row r="208">
      <c r="D208" s="2" t="n"/>
      <c r="F208" s="6" t="n"/>
      <c r="H208" s="2" t="n"/>
    </row>
    <row r="209">
      <c r="D209" s="2" t="n"/>
      <c r="F209" s="6" t="n"/>
      <c r="H209" s="2" t="n"/>
    </row>
    <row r="210">
      <c r="D210" s="2" t="n"/>
      <c r="F210" s="6" t="n"/>
      <c r="H210" s="2" t="n"/>
    </row>
    <row r="211">
      <c r="D211" s="2" t="n"/>
      <c r="F211" s="6" t="n"/>
      <c r="H211" s="2" t="n"/>
    </row>
    <row r="212">
      <c r="D212" s="2" t="n"/>
      <c r="F212" s="6" t="n"/>
      <c r="H212" s="2" t="n"/>
    </row>
    <row r="213">
      <c r="D213" s="2" t="n"/>
      <c r="F213" s="6" t="n"/>
      <c r="H213" s="2" t="n"/>
    </row>
    <row r="214">
      <c r="D214" s="2" t="n"/>
      <c r="F214" s="6" t="n"/>
      <c r="H214" s="2" t="n"/>
    </row>
    <row r="215">
      <c r="D215" s="2" t="n"/>
      <c r="F215" s="6" t="n"/>
      <c r="H215" s="2" t="n"/>
    </row>
    <row r="216">
      <c r="D216" s="2" t="n"/>
      <c r="F216" s="6" t="n"/>
      <c r="H216" s="2" t="n"/>
    </row>
    <row r="217">
      <c r="D217" s="2" t="n"/>
      <c r="F217" s="6" t="n"/>
      <c r="H217" s="2" t="n"/>
    </row>
    <row r="218">
      <c r="D218" s="2" t="n"/>
      <c r="F218" s="6" t="n"/>
      <c r="H218" s="2" t="n"/>
    </row>
    <row r="219">
      <c r="D219" s="2" t="n"/>
      <c r="F219" s="6" t="n"/>
      <c r="H219" s="2" t="n"/>
    </row>
    <row r="220">
      <c r="D220" s="2" t="n"/>
      <c r="F220" s="6" t="n"/>
      <c r="H220" s="2" t="n"/>
    </row>
    <row r="221">
      <c r="D221" s="2" t="n"/>
      <c r="F221" s="6" t="n"/>
      <c r="H221" s="2" t="n"/>
    </row>
    <row r="222">
      <c r="D222" s="2" t="n"/>
      <c r="F222" s="6" t="n"/>
      <c r="H222" s="2" t="n"/>
    </row>
    <row r="223">
      <c r="D223" s="2" t="n"/>
      <c r="F223" s="6" t="n"/>
      <c r="H223" s="2" t="n"/>
    </row>
    <row r="224">
      <c r="D224" s="2" t="n"/>
      <c r="F224" s="6" t="n"/>
      <c r="H224" s="2" t="n"/>
    </row>
    <row r="225">
      <c r="D225" s="2" t="n"/>
      <c r="F225" s="6" t="n"/>
      <c r="H225" s="2" t="n"/>
    </row>
    <row r="226">
      <c r="D226" s="2" t="n"/>
      <c r="F226" s="6" t="n"/>
      <c r="H226" s="2" t="n"/>
    </row>
    <row r="227">
      <c r="D227" s="2" t="n"/>
      <c r="F227" s="6" t="n"/>
      <c r="H227" s="2" t="n"/>
    </row>
    <row r="228">
      <c r="D228" s="2" t="n"/>
      <c r="F228" s="6" t="n"/>
      <c r="H228" s="2" t="n"/>
    </row>
    <row r="229">
      <c r="D229" s="2" t="n"/>
      <c r="F229" s="6" t="n"/>
      <c r="H229" s="2" t="n"/>
    </row>
    <row r="230">
      <c r="D230" s="2" t="n"/>
      <c r="F230" s="6" t="n"/>
      <c r="H230" s="2" t="n"/>
    </row>
    <row r="231">
      <c r="D231" s="2" t="n"/>
      <c r="F231" s="6" t="n"/>
      <c r="H231" s="2" t="n"/>
    </row>
    <row r="232">
      <c r="D232" s="2" t="n"/>
      <c r="F232" s="6" t="n"/>
      <c r="H232" s="2" t="n"/>
    </row>
    <row r="233">
      <c r="D233" s="2" t="n"/>
      <c r="F233" s="6" t="n"/>
      <c r="H233" s="2" t="n"/>
    </row>
    <row r="234">
      <c r="D234" s="2" t="n"/>
      <c r="F234" s="6" t="n"/>
      <c r="H234" s="2" t="n"/>
    </row>
    <row r="235">
      <c r="D235" s="2" t="n"/>
      <c r="F235" s="6" t="n"/>
      <c r="H235" s="2" t="n"/>
    </row>
    <row r="236">
      <c r="D236" s="2" t="n"/>
      <c r="F236" s="6" t="n"/>
      <c r="H236" s="2" t="n"/>
    </row>
    <row r="237">
      <c r="D237" s="2" t="n"/>
      <c r="F237" s="6" t="n"/>
      <c r="H237" s="2" t="n"/>
    </row>
    <row r="238">
      <c r="D238" s="2" t="n"/>
      <c r="F238" s="6" t="n"/>
      <c r="H238" s="2" t="n"/>
    </row>
    <row r="239">
      <c r="D239" s="2" t="n"/>
      <c r="F239" s="6" t="n"/>
      <c r="H239" s="2" t="n"/>
    </row>
    <row r="240">
      <c r="D240" s="2" t="n"/>
      <c r="F240" s="6" t="n"/>
      <c r="H240" s="2" t="n"/>
    </row>
    <row r="241">
      <c r="D241" s="2" t="n"/>
      <c r="F241" s="6" t="n"/>
      <c r="H241" s="2" t="n"/>
    </row>
    <row r="242">
      <c r="D242" s="2" t="n"/>
      <c r="F242" s="6" t="n"/>
      <c r="H242" s="2" t="n"/>
    </row>
    <row r="243">
      <c r="D243" s="2" t="n"/>
      <c r="F243" s="6" t="n"/>
      <c r="H243" s="2" t="n"/>
    </row>
    <row r="244">
      <c r="D244" s="2" t="n"/>
      <c r="F244" s="6" t="n"/>
      <c r="H244" s="2" t="n"/>
    </row>
    <row r="245">
      <c r="D245" s="2" t="n"/>
      <c r="F245" s="6" t="n"/>
      <c r="H245" s="2" t="n"/>
    </row>
    <row r="246">
      <c r="D246" s="2" t="n"/>
      <c r="F246" s="6" t="n"/>
      <c r="H246" s="2" t="n"/>
    </row>
    <row r="247">
      <c r="D247" s="2" t="n"/>
      <c r="F247" s="6" t="n"/>
      <c r="H247" s="2" t="n"/>
    </row>
    <row r="248">
      <c r="D248" s="2" t="n"/>
      <c r="F248" s="6" t="n"/>
      <c r="H248" s="2" t="n"/>
    </row>
    <row r="249">
      <c r="D249" s="2" t="n"/>
      <c r="F249" s="6" t="n"/>
      <c r="H249" s="2" t="n"/>
    </row>
    <row r="250">
      <c r="D250" s="2" t="n"/>
      <c r="F250" s="6" t="n"/>
      <c r="H250" s="2" t="n"/>
    </row>
    <row r="251">
      <c r="D251" s="2" t="n"/>
      <c r="F251" s="6" t="n"/>
      <c r="H251" s="2" t="n"/>
    </row>
    <row r="252">
      <c r="D252" s="2" t="n"/>
      <c r="F252" s="6" t="n"/>
      <c r="H252" s="2" t="n"/>
    </row>
    <row r="253">
      <c r="D253" s="2" t="n"/>
      <c r="F253" s="6" t="n"/>
      <c r="H253" s="2" t="n"/>
    </row>
    <row r="254">
      <c r="D254" s="2" t="n"/>
      <c r="F254" s="6" t="n"/>
      <c r="H254" s="2" t="n"/>
    </row>
    <row r="255">
      <c r="D255" s="2" t="n"/>
      <c r="F255" s="6" t="n"/>
      <c r="H255" s="2" t="n"/>
    </row>
    <row r="256">
      <c r="D256" s="2" t="n"/>
      <c r="F256" s="6" t="n"/>
      <c r="H256" s="2" t="n"/>
    </row>
    <row r="257">
      <c r="D257" s="2" t="n"/>
      <c r="F257" s="6" t="n"/>
      <c r="H257" s="2" t="n"/>
    </row>
    <row r="258">
      <c r="D258" s="2" t="n"/>
      <c r="F258" s="6" t="n"/>
      <c r="H258" s="2" t="n"/>
    </row>
    <row r="259">
      <c r="D259" s="2" t="n"/>
      <c r="F259" s="6" t="n"/>
      <c r="H259" s="2" t="n"/>
    </row>
    <row r="260">
      <c r="D260" s="2" t="n"/>
      <c r="F260" s="6" t="n"/>
      <c r="H260" s="2" t="n"/>
    </row>
    <row r="261">
      <c r="D261" s="2" t="n"/>
      <c r="F261" s="6" t="n"/>
      <c r="H261" s="2" t="n"/>
    </row>
    <row r="262">
      <c r="D262" s="2" t="n"/>
      <c r="F262" s="6" t="n"/>
      <c r="H262" s="2" t="n"/>
    </row>
    <row r="263">
      <c r="D263" s="2" t="n"/>
      <c r="F263" s="6" t="n"/>
      <c r="H263" s="2" t="n"/>
    </row>
    <row r="264">
      <c r="D264" s="2" t="n"/>
      <c r="F264" s="6" t="n"/>
      <c r="H264" s="2" t="n"/>
    </row>
    <row r="265">
      <c r="D265" s="2" t="n"/>
      <c r="F265" s="6" t="n"/>
      <c r="H265" s="2" t="n"/>
    </row>
    <row r="266">
      <c r="D266" s="2" t="n"/>
      <c r="F266" s="6" t="n"/>
      <c r="H266" s="2" t="n"/>
    </row>
    <row r="267">
      <c r="D267" s="2" t="n"/>
      <c r="F267" s="6" t="n"/>
      <c r="H267" s="2" t="n"/>
    </row>
    <row r="268">
      <c r="D268" s="2" t="n"/>
      <c r="F268" s="6" t="n"/>
      <c r="H268" s="2" t="n"/>
    </row>
    <row r="269">
      <c r="D269" s="2" t="n"/>
      <c r="F269" s="6" t="n"/>
      <c r="H269" s="2" t="n"/>
    </row>
    <row r="270">
      <c r="D270" s="2" t="n"/>
      <c r="F270" s="6" t="n"/>
      <c r="H270" s="2" t="n"/>
    </row>
    <row r="271">
      <c r="D271" s="2" t="n"/>
      <c r="F271" s="6" t="n"/>
      <c r="H271" s="2" t="n"/>
    </row>
    <row r="272">
      <c r="D272" s="2" t="n"/>
      <c r="F272" s="6" t="n"/>
      <c r="H272" s="2" t="n"/>
    </row>
    <row r="273">
      <c r="D273" s="2" t="n"/>
      <c r="F273" s="6" t="n"/>
      <c r="H273" s="2" t="n"/>
    </row>
    <row r="274">
      <c r="D274" s="2" t="n"/>
      <c r="F274" s="6" t="n"/>
      <c r="H274" s="2" t="n"/>
    </row>
    <row r="275">
      <c r="D275" s="2" t="n"/>
      <c r="F275" s="6" t="n"/>
      <c r="H275" s="2" t="n"/>
    </row>
    <row r="276">
      <c r="D276" s="2" t="n"/>
      <c r="F276" s="6" t="n"/>
      <c r="H276" s="2" t="n"/>
    </row>
    <row r="277">
      <c r="D277" s="2" t="n"/>
      <c r="F277" s="6" t="n"/>
      <c r="H277" s="2" t="n"/>
    </row>
    <row r="278">
      <c r="D278" s="2" t="n"/>
      <c r="F278" s="6" t="n"/>
      <c r="H278" s="2" t="n"/>
    </row>
    <row r="279">
      <c r="D279" s="2" t="n"/>
      <c r="F279" s="6" t="n"/>
      <c r="H279" s="2" t="n"/>
    </row>
    <row r="280">
      <c r="D280" s="2" t="n"/>
      <c r="F280" s="6" t="n"/>
      <c r="H280" s="2" t="n"/>
    </row>
    <row r="281">
      <c r="D281" s="2" t="n"/>
      <c r="F281" s="6" t="n"/>
      <c r="H281" s="2" t="n"/>
    </row>
    <row r="282">
      <c r="D282" s="2" t="n"/>
      <c r="F282" s="6" t="n"/>
      <c r="H282" s="2" t="n"/>
    </row>
    <row r="283">
      <c r="D283" s="2" t="n"/>
      <c r="F283" s="6" t="n"/>
      <c r="H283" s="2" t="n"/>
    </row>
    <row r="284">
      <c r="D284" s="2" t="n"/>
      <c r="F284" s="6" t="n"/>
      <c r="H284" s="2" t="n"/>
    </row>
    <row r="285">
      <c r="D285" s="2" t="n"/>
      <c r="F285" s="6" t="n"/>
      <c r="H285" s="2" t="n"/>
    </row>
    <row r="286">
      <c r="D286" s="2" t="n"/>
      <c r="F286" s="6" t="n"/>
      <c r="H286" s="2" t="n"/>
    </row>
    <row r="287">
      <c r="D287" s="2" t="n"/>
      <c r="F287" s="6" t="n"/>
      <c r="H287" s="2" t="n"/>
    </row>
    <row r="288">
      <c r="D288" s="2" t="n"/>
      <c r="F288" s="6" t="n"/>
      <c r="H288" s="2" t="n"/>
    </row>
    <row r="289">
      <c r="D289" s="2" t="n"/>
      <c r="F289" s="6" t="n"/>
      <c r="H289" s="2" t="n"/>
    </row>
    <row r="290">
      <c r="D290" s="2" t="n"/>
      <c r="F290" s="6" t="n"/>
      <c r="H290" s="2" t="n"/>
    </row>
    <row r="291">
      <c r="D291" s="2" t="n"/>
      <c r="F291" s="6" t="n"/>
      <c r="H291" s="2" t="n"/>
    </row>
    <row r="292">
      <c r="D292" s="2" t="n"/>
      <c r="F292" s="6" t="n"/>
      <c r="H292" s="2" t="n"/>
    </row>
    <row r="293">
      <c r="D293" s="2" t="n"/>
      <c r="F293" s="6" t="n"/>
      <c r="H293" s="2" t="n"/>
    </row>
    <row r="294">
      <c r="D294" s="2" t="n"/>
      <c r="F294" s="6" t="n"/>
      <c r="H294" s="2" t="n"/>
    </row>
    <row r="295">
      <c r="D295" s="2" t="n"/>
      <c r="F295" s="6" t="n"/>
      <c r="H295" s="2" t="n"/>
    </row>
    <row r="296">
      <c r="D296" s="2" t="n"/>
      <c r="F296" s="6" t="n"/>
      <c r="H296" s="2" t="n"/>
    </row>
    <row r="297">
      <c r="D297" s="2" t="n"/>
      <c r="F297" s="6" t="n"/>
      <c r="H297" s="2" t="n"/>
    </row>
    <row r="298">
      <c r="D298" s="2" t="n"/>
      <c r="F298" s="6" t="n"/>
      <c r="H298" s="2" t="n"/>
    </row>
    <row r="299">
      <c r="D299" s="2" t="n"/>
      <c r="F299" s="6" t="n"/>
      <c r="H299" s="2" t="n"/>
    </row>
    <row r="300">
      <c r="D300" s="2" t="n"/>
      <c r="F300" s="6" t="n"/>
      <c r="H300" s="2" t="n"/>
    </row>
    <row r="301">
      <c r="D301" s="2" t="n"/>
      <c r="F301" s="6" t="n"/>
      <c r="H301" s="2" t="n"/>
    </row>
    <row r="302">
      <c r="D302" s="2" t="n"/>
      <c r="F302" s="6" t="n"/>
      <c r="H302" s="2" t="n"/>
    </row>
    <row r="303">
      <c r="D303" s="2" t="n"/>
      <c r="F303" s="6" t="n"/>
      <c r="H303" s="2" t="n"/>
    </row>
    <row r="304">
      <c r="D304" s="2" t="n"/>
      <c r="F304" s="6" t="n"/>
      <c r="H304" s="2" t="n"/>
    </row>
    <row r="305">
      <c r="D305" s="2" t="n"/>
      <c r="F305" s="6" t="n"/>
      <c r="H305" s="2" t="n"/>
    </row>
    <row r="306">
      <c r="D306" s="2" t="n"/>
      <c r="F306" s="6" t="n"/>
      <c r="H306" s="2" t="n"/>
    </row>
    <row r="307">
      <c r="D307" s="2" t="n"/>
      <c r="F307" s="6" t="n"/>
      <c r="H307" s="2" t="n"/>
    </row>
    <row r="308">
      <c r="D308" s="2" t="n"/>
      <c r="F308" s="6" t="n"/>
      <c r="H308" s="2" t="n"/>
    </row>
    <row r="309">
      <c r="D309" s="2" t="n"/>
      <c r="F309" s="6" t="n"/>
      <c r="H309" s="2" t="n"/>
    </row>
    <row r="310">
      <c r="D310" s="2" t="n"/>
      <c r="F310" s="6" t="n"/>
      <c r="H310" s="2" t="n"/>
    </row>
    <row r="311">
      <c r="D311" s="2" t="n"/>
      <c r="F311" s="6" t="n"/>
      <c r="H311" s="2" t="n"/>
    </row>
    <row r="312">
      <c r="D312" s="2" t="n"/>
      <c r="F312" s="6" t="n"/>
      <c r="H312" s="2" t="n"/>
    </row>
    <row r="313">
      <c r="D313" s="2" t="n"/>
      <c r="F313" s="6" t="n"/>
      <c r="H313" s="2" t="n"/>
    </row>
    <row r="314">
      <c r="D314" s="2" t="n"/>
      <c r="F314" s="6" t="n"/>
      <c r="H314" s="2" t="n"/>
    </row>
    <row r="315">
      <c r="D315" s="2" t="n"/>
      <c r="F315" s="6" t="n"/>
      <c r="H315" s="2" t="n"/>
    </row>
    <row r="316">
      <c r="D316" s="2" t="n"/>
      <c r="F316" s="6" t="n"/>
      <c r="H316" s="2" t="n"/>
    </row>
    <row r="317">
      <c r="D317" s="2" t="n"/>
      <c r="F317" s="6" t="n"/>
      <c r="H317" s="2" t="n"/>
    </row>
    <row r="318">
      <c r="D318" s="2" t="n"/>
      <c r="F318" s="6" t="n"/>
      <c r="H318" s="2" t="n"/>
    </row>
    <row r="319">
      <c r="D319" s="2" t="n"/>
      <c r="F319" s="6" t="n"/>
      <c r="H319" s="2" t="n"/>
    </row>
    <row r="320">
      <c r="D320" s="2" t="n"/>
      <c r="F320" s="6" t="n"/>
      <c r="H320" s="2" t="n"/>
    </row>
    <row r="321">
      <c r="D321" s="2" t="n"/>
      <c r="F321" s="6" t="n"/>
      <c r="H321" s="2" t="n"/>
    </row>
    <row r="322">
      <c r="D322" s="2" t="n"/>
      <c r="F322" s="6" t="n"/>
      <c r="H322" s="2" t="n"/>
    </row>
    <row r="323">
      <c r="D323" s="2" t="n"/>
      <c r="F323" s="6" t="n"/>
      <c r="H323" s="2" t="n"/>
    </row>
    <row r="324">
      <c r="D324" s="2" t="n"/>
      <c r="F324" s="6" t="n"/>
      <c r="H324" s="2" t="n"/>
    </row>
    <row r="325">
      <c r="D325" s="2" t="n"/>
      <c r="F325" s="6" t="n"/>
      <c r="H325" s="2" t="n"/>
    </row>
    <row r="326">
      <c r="D326" s="2" t="n"/>
      <c r="F326" s="6" t="n"/>
      <c r="H326" s="2" t="n"/>
    </row>
    <row r="327">
      <c r="D327" s="2" t="n"/>
      <c r="F327" s="6" t="n"/>
      <c r="H327" s="2" t="n"/>
    </row>
    <row r="328">
      <c r="D328" s="2" t="n"/>
      <c r="F328" s="6" t="n"/>
      <c r="H328" s="2" t="n"/>
    </row>
    <row r="329">
      <c r="D329" s="2" t="n"/>
      <c r="F329" s="6" t="n"/>
      <c r="H329" s="2" t="n"/>
    </row>
    <row r="330">
      <c r="D330" s="2" t="n"/>
      <c r="F330" s="6" t="n"/>
      <c r="H330" s="2" t="n"/>
    </row>
    <row r="331">
      <c r="D331" s="2" t="n"/>
      <c r="F331" s="6" t="n"/>
      <c r="H331" s="2" t="n"/>
    </row>
    <row r="332">
      <c r="D332" s="2" t="n"/>
      <c r="F332" s="6" t="n"/>
      <c r="H332" s="2" t="n"/>
    </row>
    <row r="333">
      <c r="D333" s="2" t="n"/>
      <c r="F333" s="6" t="n"/>
      <c r="H333" s="2" t="n"/>
    </row>
    <row r="334">
      <c r="D334" s="2" t="n"/>
      <c r="F334" s="6" t="n"/>
      <c r="H334" s="2" t="n"/>
    </row>
    <row r="335">
      <c r="D335" s="2" t="n"/>
      <c r="F335" s="6" t="n"/>
      <c r="H335" s="2" t="n"/>
    </row>
    <row r="336">
      <c r="D336" s="2" t="n"/>
      <c r="F336" s="6" t="n"/>
      <c r="H336" s="2" t="n"/>
    </row>
    <row r="337">
      <c r="D337" s="2" t="n"/>
      <c r="F337" s="6" t="n"/>
      <c r="H337" s="2" t="n"/>
    </row>
    <row r="338">
      <c r="D338" s="2" t="n"/>
      <c r="F338" s="6" t="n"/>
      <c r="H338" s="2" t="n"/>
    </row>
    <row r="339">
      <c r="D339" s="2" t="n"/>
      <c r="F339" s="6" t="n"/>
      <c r="H339" s="2" t="n"/>
    </row>
    <row r="340">
      <c r="D340" s="2" t="n"/>
      <c r="F340" s="6" t="n"/>
      <c r="H340" s="2" t="n"/>
    </row>
    <row r="341">
      <c r="D341" s="2" t="n"/>
      <c r="F341" s="6" t="n"/>
      <c r="H341" s="2" t="n"/>
    </row>
    <row r="342">
      <c r="D342" s="2" t="n"/>
      <c r="F342" s="6" t="n"/>
      <c r="H342" s="2" t="n"/>
    </row>
    <row r="343">
      <c r="D343" s="2" t="n"/>
      <c r="F343" s="6" t="n"/>
      <c r="H343" s="2" t="n"/>
    </row>
    <row r="344">
      <c r="D344" s="2" t="n"/>
      <c r="F344" s="6" t="n"/>
      <c r="H344" s="2" t="n"/>
    </row>
    <row r="345">
      <c r="D345" s="2" t="n"/>
      <c r="F345" s="6" t="n"/>
      <c r="H345" s="2" t="n"/>
    </row>
    <row r="346">
      <c r="D346" s="2" t="n"/>
      <c r="F346" s="6" t="n"/>
      <c r="H346" s="2" t="n"/>
    </row>
    <row r="347">
      <c r="D347" s="2" t="n"/>
      <c r="F347" s="6" t="n"/>
      <c r="H347" s="2" t="n"/>
    </row>
    <row r="348">
      <c r="D348" s="2" t="n"/>
      <c r="F348" s="6" t="n"/>
      <c r="H348" s="2" t="n"/>
    </row>
    <row r="349">
      <c r="D349" s="2" t="n"/>
      <c r="F349" s="6" t="n"/>
      <c r="H349" s="2" t="n"/>
    </row>
    <row r="350">
      <c r="D350" s="2" t="n"/>
      <c r="F350" s="6" t="n"/>
      <c r="H350" s="2" t="n"/>
    </row>
    <row r="351">
      <c r="D351" s="2" t="n"/>
      <c r="F351" s="6" t="n"/>
      <c r="H351" s="2" t="n"/>
    </row>
    <row r="352">
      <c r="D352" s="2" t="n"/>
      <c r="F352" s="6" t="n"/>
      <c r="H352" s="2" t="n"/>
    </row>
    <row r="353">
      <c r="D353" s="2" t="n"/>
      <c r="F353" s="6" t="n"/>
      <c r="H353" s="2" t="n"/>
    </row>
    <row r="354">
      <c r="D354" s="2" t="n"/>
      <c r="F354" s="6" t="n"/>
      <c r="H354" s="2" t="n"/>
    </row>
    <row r="355">
      <c r="D355" s="2" t="n"/>
      <c r="F355" s="6" t="n"/>
      <c r="H355" s="2" t="n"/>
    </row>
    <row r="356">
      <c r="D356" s="2" t="n"/>
      <c r="F356" s="6" t="n"/>
      <c r="H356" s="2" t="n"/>
    </row>
    <row r="357">
      <c r="D357" s="2" t="n"/>
      <c r="F357" s="6" t="n"/>
      <c r="H357" s="2" t="n"/>
    </row>
    <row r="358">
      <c r="D358" s="2" t="n"/>
      <c r="F358" s="6" t="n"/>
      <c r="H358" s="2" t="n"/>
    </row>
    <row r="359">
      <c r="D359" s="2" t="n"/>
      <c r="F359" s="6" t="n"/>
      <c r="H359" s="2" t="n"/>
    </row>
    <row r="360">
      <c r="D360" s="2" t="n"/>
      <c r="F360" s="6" t="n"/>
      <c r="H360" s="2" t="n"/>
    </row>
    <row r="361">
      <c r="D361" s="2" t="n"/>
      <c r="F361" s="6" t="n"/>
      <c r="H361" s="2" t="n"/>
    </row>
    <row r="362">
      <c r="D362" s="2" t="n"/>
      <c r="F362" s="6" t="n"/>
      <c r="H362" s="2" t="n"/>
    </row>
    <row r="363">
      <c r="D363" s="2" t="n"/>
      <c r="F363" s="6" t="n"/>
      <c r="H363" s="2" t="n"/>
    </row>
    <row r="364">
      <c r="D364" s="2" t="n"/>
      <c r="F364" s="6" t="n"/>
      <c r="H364" s="2" t="n"/>
    </row>
    <row r="365">
      <c r="D365" s="2" t="n"/>
      <c r="F365" s="6" t="n"/>
      <c r="H365" s="2" t="n"/>
    </row>
    <row r="366">
      <c r="D366" s="2" t="n"/>
      <c r="F366" s="6" t="n"/>
      <c r="H366" s="2" t="n"/>
    </row>
    <row r="367">
      <c r="D367" s="2" t="n"/>
      <c r="F367" s="6" t="n"/>
      <c r="H367" s="2" t="n"/>
    </row>
    <row r="368">
      <c r="D368" s="2" t="n"/>
      <c r="F368" s="6" t="n"/>
      <c r="H368" s="2" t="n"/>
    </row>
    <row r="369">
      <c r="D369" s="2" t="n"/>
      <c r="F369" s="6" t="n"/>
      <c r="H369" s="2" t="n"/>
    </row>
    <row r="370">
      <c r="D370" s="2" t="n"/>
      <c r="F370" s="6" t="n"/>
      <c r="H370" s="2" t="n"/>
    </row>
    <row r="371">
      <c r="D371" s="2" t="n"/>
      <c r="F371" s="6" t="n"/>
      <c r="H371" s="2" t="n"/>
    </row>
    <row r="372">
      <c r="D372" s="2" t="n"/>
      <c r="F372" s="6" t="n"/>
      <c r="H372" s="2" t="n"/>
    </row>
    <row r="373">
      <c r="D373" s="2" t="n"/>
      <c r="F373" s="6" t="n"/>
      <c r="H373" s="2" t="n"/>
    </row>
    <row r="374">
      <c r="D374" s="2" t="n"/>
      <c r="F374" s="6" t="n"/>
      <c r="H374" s="2" t="n"/>
    </row>
    <row r="375">
      <c r="D375" s="2" t="n"/>
      <c r="F375" s="6" t="n"/>
      <c r="H375" s="2" t="n"/>
    </row>
    <row r="376">
      <c r="D376" s="2" t="n"/>
      <c r="F376" s="6" t="n"/>
      <c r="H376" s="2" t="n"/>
    </row>
    <row r="377">
      <c r="D377" s="2" t="n"/>
      <c r="F377" s="6" t="n"/>
      <c r="H377" s="2" t="n"/>
    </row>
    <row r="378">
      <c r="D378" s="2" t="n"/>
      <c r="F378" s="6" t="n"/>
      <c r="H378" s="2" t="n"/>
    </row>
    <row r="379">
      <c r="D379" s="2" t="n"/>
      <c r="F379" s="6" t="n"/>
      <c r="H379" s="2" t="n"/>
    </row>
    <row r="380">
      <c r="D380" s="2" t="n"/>
      <c r="F380" s="6" t="n"/>
      <c r="H380" s="2" t="n"/>
    </row>
    <row r="381">
      <c r="D381" s="2" t="n"/>
      <c r="F381" s="6" t="n"/>
      <c r="H381" s="2" t="n"/>
    </row>
    <row r="382">
      <c r="D382" s="2" t="n"/>
      <c r="F382" s="6" t="n"/>
      <c r="H382" s="2" t="n"/>
    </row>
    <row r="383">
      <c r="D383" s="2" t="n"/>
      <c r="F383" s="6" t="n"/>
      <c r="H383" s="2" t="n"/>
    </row>
    <row r="384">
      <c r="D384" s="2" t="n"/>
      <c r="F384" s="6" t="n"/>
      <c r="H384" s="2" t="n"/>
    </row>
    <row r="385">
      <c r="D385" s="2" t="n"/>
      <c r="F385" s="6" t="n"/>
      <c r="H385" s="2" t="n"/>
    </row>
    <row r="386">
      <c r="D386" s="2" t="n"/>
      <c r="F386" s="6" t="n"/>
      <c r="H386" s="2" t="n"/>
    </row>
    <row r="387">
      <c r="D387" s="2" t="n"/>
      <c r="F387" s="6" t="n"/>
      <c r="H387" s="2" t="n"/>
    </row>
    <row r="388">
      <c r="D388" s="2" t="n"/>
      <c r="F388" s="6" t="n"/>
      <c r="H388" s="2" t="n"/>
    </row>
    <row r="389">
      <c r="D389" s="2" t="n"/>
      <c r="F389" s="6" t="n"/>
      <c r="H389" s="2" t="n"/>
    </row>
    <row r="390">
      <c r="D390" s="2" t="n"/>
      <c r="F390" s="6" t="n"/>
      <c r="H390" s="2" t="n"/>
    </row>
    <row r="391">
      <c r="D391" s="2" t="n"/>
      <c r="F391" s="6" t="n"/>
      <c r="H391" s="2" t="n"/>
    </row>
    <row r="392">
      <c r="D392" s="2" t="n"/>
      <c r="F392" s="6" t="n"/>
      <c r="H392" s="2" t="n"/>
    </row>
    <row r="393">
      <c r="D393" s="2" t="n"/>
      <c r="F393" s="6" t="n"/>
      <c r="H393" s="2" t="n"/>
    </row>
    <row r="394">
      <c r="D394" s="2" t="n"/>
      <c r="F394" s="6" t="n"/>
      <c r="H394" s="2" t="n"/>
    </row>
    <row r="395">
      <c r="D395" s="2" t="n"/>
      <c r="F395" s="6" t="n"/>
      <c r="H395" s="2" t="n"/>
    </row>
    <row r="396">
      <c r="D396" s="2" t="n"/>
      <c r="F396" s="6" t="n"/>
      <c r="H396" s="2" t="n"/>
    </row>
    <row r="397">
      <c r="D397" s="2" t="n"/>
      <c r="F397" s="6" t="n"/>
      <c r="H397" s="2" t="n"/>
    </row>
    <row r="398">
      <c r="D398" s="2" t="n"/>
      <c r="F398" s="6" t="n"/>
      <c r="H398" s="2" t="n"/>
    </row>
    <row r="399">
      <c r="D399" s="2" t="n"/>
      <c r="F399" s="6" t="n"/>
      <c r="H399" s="2" t="n"/>
    </row>
    <row r="400">
      <c r="D400" s="2" t="n"/>
      <c r="F400" s="6" t="n"/>
      <c r="H400" s="2" t="n"/>
    </row>
    <row r="401">
      <c r="D401" s="2" t="n"/>
      <c r="F401" s="6" t="n"/>
      <c r="H401" s="2" t="n"/>
    </row>
    <row r="402">
      <c r="D402" s="2" t="n"/>
      <c r="F402" s="6" t="n"/>
      <c r="H402" s="2" t="n"/>
    </row>
    <row r="403">
      <c r="D403" s="2" t="n"/>
      <c r="F403" s="6" t="n"/>
      <c r="H403" s="2" t="n"/>
    </row>
    <row r="404">
      <c r="D404" s="2" t="n"/>
      <c r="F404" s="6" t="n"/>
      <c r="H404" s="2" t="n"/>
    </row>
    <row r="405">
      <c r="D405" s="2" t="n"/>
      <c r="F405" s="6" t="n"/>
      <c r="H405" s="2" t="n"/>
    </row>
    <row r="406">
      <c r="D406" s="2" t="n"/>
      <c r="F406" s="6" t="n"/>
      <c r="H406" s="2" t="n"/>
    </row>
    <row r="407">
      <c r="D407" s="2" t="n"/>
      <c r="F407" s="6" t="n"/>
      <c r="H407" s="2" t="n"/>
    </row>
    <row r="408">
      <c r="D408" s="2" t="n"/>
      <c r="F408" s="6" t="n"/>
      <c r="H408" s="2" t="n"/>
    </row>
    <row r="409">
      <c r="D409" s="2" t="n"/>
      <c r="F409" s="6" t="n"/>
      <c r="H409" s="2" t="n"/>
    </row>
    <row r="410">
      <c r="D410" s="2" t="n"/>
      <c r="F410" s="6" t="n"/>
      <c r="H410" s="2" t="n"/>
    </row>
    <row r="411">
      <c r="D411" s="2" t="n"/>
      <c r="F411" s="6" t="n"/>
      <c r="H411" s="2" t="n"/>
    </row>
    <row r="412">
      <c r="D412" s="2" t="n"/>
      <c r="F412" s="6" t="n"/>
      <c r="H412" s="2" t="n"/>
    </row>
    <row r="413">
      <c r="D413" s="2" t="n"/>
      <c r="F413" s="6" t="n"/>
      <c r="H413" s="2" t="n"/>
    </row>
    <row r="414">
      <c r="D414" s="2" t="n"/>
      <c r="F414" s="6" t="n"/>
      <c r="H414" s="2" t="n"/>
    </row>
    <row r="415">
      <c r="D415" s="2" t="n"/>
      <c r="F415" s="6" t="n"/>
      <c r="H415" s="2" t="n"/>
    </row>
    <row r="416">
      <c r="D416" s="2" t="n"/>
      <c r="F416" s="6" t="n"/>
      <c r="H416" s="2" t="n"/>
    </row>
    <row r="417">
      <c r="D417" s="2" t="n"/>
      <c r="F417" s="6" t="n"/>
      <c r="H417" s="2" t="n"/>
    </row>
    <row r="418">
      <c r="D418" s="2" t="n"/>
      <c r="F418" s="6" t="n"/>
      <c r="H418" s="2" t="n"/>
    </row>
    <row r="419">
      <c r="D419" s="2" t="n"/>
      <c r="F419" s="6" t="n"/>
      <c r="H419" s="2" t="n"/>
    </row>
    <row r="420">
      <c r="D420" s="2" t="n"/>
      <c r="F420" s="6" t="n"/>
      <c r="H420" s="2" t="n"/>
    </row>
    <row r="421">
      <c r="D421" s="2" t="n"/>
      <c r="F421" s="6" t="n"/>
      <c r="H421" s="2" t="n"/>
    </row>
    <row r="422">
      <c r="D422" s="2" t="n"/>
      <c r="F422" s="6" t="n"/>
      <c r="H422" s="2" t="n"/>
    </row>
    <row r="423">
      <c r="D423" s="2" t="n"/>
      <c r="F423" s="6" t="n"/>
      <c r="H423" s="2" t="n"/>
    </row>
    <row r="424">
      <c r="D424" s="2" t="n"/>
      <c r="F424" s="6" t="n"/>
      <c r="H424" s="2" t="n"/>
    </row>
    <row r="425">
      <c r="D425" s="2" t="n"/>
      <c r="F425" s="6" t="n"/>
      <c r="H425" s="2" t="n"/>
    </row>
    <row r="426">
      <c r="D426" s="2" t="n"/>
      <c r="F426" s="6" t="n"/>
      <c r="H426" s="2" t="n"/>
    </row>
    <row r="427">
      <c r="D427" s="2" t="n"/>
      <c r="F427" s="6" t="n"/>
      <c r="H427" s="2" t="n"/>
    </row>
    <row r="428">
      <c r="D428" s="2" t="n"/>
      <c r="F428" s="6" t="n"/>
      <c r="H428" s="2" t="n"/>
    </row>
    <row r="429">
      <c r="D429" s="2" t="n"/>
      <c r="F429" s="6" t="n"/>
      <c r="H429" s="2" t="n"/>
    </row>
    <row r="430">
      <c r="D430" s="2" t="n"/>
      <c r="F430" s="6" t="n"/>
      <c r="H430" s="2" t="n"/>
    </row>
    <row r="431">
      <c r="D431" s="2" t="n"/>
      <c r="F431" s="6" t="n"/>
      <c r="H431" s="2" t="n"/>
    </row>
    <row r="432">
      <c r="D432" s="2" t="n"/>
      <c r="F432" s="6" t="n"/>
      <c r="H432" s="2" t="n"/>
    </row>
    <row r="433">
      <c r="D433" s="2" t="n"/>
      <c r="F433" s="6" t="n"/>
      <c r="H433" s="2" t="n"/>
    </row>
    <row r="434">
      <c r="D434" s="2" t="n"/>
      <c r="F434" s="6" t="n"/>
      <c r="H434" s="2" t="n"/>
    </row>
    <row r="435">
      <c r="D435" s="2" t="n"/>
      <c r="F435" s="6" t="n"/>
      <c r="H435" s="2" t="n"/>
    </row>
    <row r="436">
      <c r="D436" s="2" t="n"/>
      <c r="F436" s="6" t="n"/>
      <c r="H436" s="2" t="n"/>
    </row>
    <row r="437">
      <c r="D437" s="2" t="n"/>
      <c r="F437" s="6" t="n"/>
      <c r="H437" s="2" t="n"/>
    </row>
    <row r="438">
      <c r="D438" s="2" t="n"/>
      <c r="F438" s="6" t="n"/>
      <c r="H438" s="2" t="n"/>
    </row>
    <row r="439">
      <c r="D439" s="2" t="n"/>
      <c r="F439" s="6" t="n"/>
      <c r="H439" s="2" t="n"/>
    </row>
    <row r="440">
      <c r="D440" s="2" t="n"/>
      <c r="F440" s="6" t="n"/>
      <c r="H440" s="2" t="n"/>
    </row>
    <row r="441">
      <c r="D441" s="2" t="n"/>
      <c r="F441" s="6" t="n"/>
      <c r="H441" s="2" t="n"/>
    </row>
    <row r="442">
      <c r="D442" s="2" t="n"/>
      <c r="F442" s="6" t="n"/>
      <c r="H442" s="2" t="n"/>
    </row>
    <row r="443">
      <c r="D443" s="2" t="n"/>
      <c r="F443" s="6" t="n"/>
      <c r="H443" s="2" t="n"/>
    </row>
    <row r="444">
      <c r="D444" s="2" t="n"/>
      <c r="F444" s="6" t="n"/>
      <c r="H444" s="2" t="n"/>
    </row>
    <row r="445">
      <c r="D445" s="2" t="n"/>
      <c r="F445" s="6" t="n"/>
      <c r="H445" s="2" t="n"/>
    </row>
    <row r="446">
      <c r="D446" s="2" t="n"/>
      <c r="F446" s="6" t="n"/>
      <c r="H446" s="2" t="n"/>
    </row>
    <row r="447">
      <c r="D447" s="2" t="n"/>
      <c r="F447" s="6" t="n"/>
      <c r="H447" s="2" t="n"/>
    </row>
    <row r="448">
      <c r="D448" s="2" t="n"/>
      <c r="F448" s="6" t="n"/>
      <c r="H448" s="2" t="n"/>
    </row>
    <row r="449">
      <c r="D449" s="2" t="n"/>
      <c r="F449" s="6" t="n"/>
      <c r="H449" s="2" t="n"/>
    </row>
    <row r="450">
      <c r="D450" s="2" t="n"/>
      <c r="F450" s="6" t="n"/>
      <c r="H450" s="2" t="n"/>
    </row>
    <row r="451">
      <c r="D451" s="2" t="n"/>
      <c r="F451" s="6" t="n"/>
      <c r="H451" s="2" t="n"/>
    </row>
    <row r="452">
      <c r="D452" s="2" t="n"/>
      <c r="F452" s="6" t="n"/>
      <c r="H452" s="2" t="n"/>
    </row>
    <row r="453">
      <c r="D453" s="2" t="n"/>
      <c r="F453" s="6" t="n"/>
      <c r="H453" s="2" t="n"/>
    </row>
    <row r="454">
      <c r="D454" s="2" t="n"/>
      <c r="F454" s="6" t="n"/>
      <c r="H454" s="2" t="n"/>
    </row>
    <row r="455">
      <c r="D455" s="2" t="n"/>
      <c r="F455" s="6" t="n"/>
      <c r="H455" s="2" t="n"/>
    </row>
    <row r="456">
      <c r="D456" s="2" t="n"/>
      <c r="F456" s="6" t="n"/>
      <c r="H456" s="2" t="n"/>
    </row>
    <row r="457">
      <c r="D457" s="2" t="n"/>
      <c r="F457" s="6" t="n"/>
      <c r="H457" s="2" t="n"/>
    </row>
    <row r="458">
      <c r="D458" s="2" t="n"/>
      <c r="F458" s="6" t="n"/>
      <c r="H458" s="2" t="n"/>
    </row>
    <row r="459">
      <c r="D459" s="2" t="n"/>
      <c r="F459" s="6" t="n"/>
      <c r="H459" s="2" t="n"/>
    </row>
    <row r="460">
      <c r="D460" s="2" t="n"/>
      <c r="F460" s="6" t="n"/>
      <c r="H460" s="2" t="n"/>
    </row>
    <row r="461">
      <c r="D461" s="2" t="n"/>
      <c r="F461" s="6" t="n"/>
      <c r="H461" s="2" t="n"/>
    </row>
    <row r="462">
      <c r="D462" s="2" t="n"/>
      <c r="F462" s="6" t="n"/>
      <c r="H462" s="2" t="n"/>
    </row>
    <row r="463">
      <c r="D463" s="2" t="n"/>
      <c r="F463" s="6" t="n"/>
      <c r="H463" s="2" t="n"/>
    </row>
    <row r="464">
      <c r="D464" s="2" t="n"/>
      <c r="F464" s="6" t="n"/>
      <c r="H464" s="2" t="n"/>
    </row>
    <row r="465">
      <c r="D465" s="2" t="n"/>
      <c r="F465" s="6" t="n"/>
      <c r="H465" s="2" t="n"/>
    </row>
    <row r="466">
      <c r="D466" s="2" t="n"/>
      <c r="F466" s="6" t="n"/>
      <c r="H466" s="2" t="n"/>
    </row>
    <row r="467">
      <c r="D467" s="2" t="n"/>
      <c r="F467" s="6" t="n"/>
      <c r="H467" s="2" t="n"/>
    </row>
    <row r="468">
      <c r="D468" s="2" t="n"/>
      <c r="F468" s="6" t="n"/>
      <c r="H468" s="2" t="n"/>
    </row>
    <row r="469">
      <c r="D469" s="2" t="n"/>
      <c r="F469" s="6" t="n"/>
      <c r="H469" s="2" t="n"/>
    </row>
    <row r="470">
      <c r="D470" s="2" t="n"/>
      <c r="F470" s="6" t="n"/>
      <c r="H470" s="2" t="n"/>
    </row>
    <row r="471">
      <c r="D471" s="2" t="n"/>
      <c r="F471" s="6" t="n"/>
      <c r="H471" s="2" t="n"/>
    </row>
    <row r="472">
      <c r="D472" s="2" t="n"/>
      <c r="F472" s="6" t="n"/>
      <c r="H472" s="2" t="n"/>
    </row>
    <row r="473">
      <c r="D473" s="2" t="n"/>
      <c r="F473" s="6" t="n"/>
      <c r="H473" s="2" t="n"/>
    </row>
    <row r="474">
      <c r="D474" s="2" t="n"/>
      <c r="F474" s="6" t="n"/>
      <c r="H474" s="2" t="n"/>
    </row>
    <row r="475">
      <c r="D475" s="2" t="n"/>
      <c r="F475" s="6" t="n"/>
      <c r="H475" s="2" t="n"/>
    </row>
    <row r="476">
      <c r="D476" s="2" t="n"/>
      <c r="F476" s="6" t="n"/>
      <c r="H476" s="2" t="n"/>
    </row>
    <row r="477">
      <c r="D477" s="2" t="n"/>
      <c r="F477" s="6" t="n"/>
      <c r="H477" s="2" t="n"/>
    </row>
    <row r="478">
      <c r="D478" s="2" t="n"/>
      <c r="F478" s="6" t="n"/>
      <c r="H478" s="2" t="n"/>
    </row>
    <row r="479">
      <c r="D479" s="2" t="n"/>
      <c r="F479" s="6" t="n"/>
      <c r="H479" s="2" t="n"/>
    </row>
    <row r="480">
      <c r="D480" s="2" t="n"/>
      <c r="F480" s="6" t="n"/>
      <c r="H480" s="2" t="n"/>
    </row>
    <row r="481">
      <c r="D481" s="2" t="n"/>
      <c r="F481" s="6" t="n"/>
      <c r="H481" s="2" t="n"/>
    </row>
    <row r="482">
      <c r="D482" s="2" t="n"/>
      <c r="F482" s="6" t="n"/>
      <c r="H482" s="2" t="n"/>
    </row>
    <row r="483">
      <c r="D483" s="2" t="n"/>
      <c r="F483" s="6" t="n"/>
      <c r="H483" s="2" t="n"/>
    </row>
    <row r="484">
      <c r="D484" s="2" t="n"/>
      <c r="F484" s="6" t="n"/>
      <c r="H484" s="2" t="n"/>
    </row>
    <row r="485">
      <c r="D485" s="2" t="n"/>
      <c r="F485" s="6" t="n"/>
      <c r="H485" s="2" t="n"/>
    </row>
    <row r="486">
      <c r="D486" s="2" t="n"/>
      <c r="F486" s="6" t="n"/>
      <c r="H486" s="2" t="n"/>
    </row>
    <row r="487">
      <c r="D487" s="2" t="n"/>
      <c r="F487" s="6" t="n"/>
      <c r="H487" s="2" t="n"/>
    </row>
    <row r="488">
      <c r="D488" s="2" t="n"/>
      <c r="F488" s="6" t="n"/>
      <c r="H488" s="2" t="n"/>
    </row>
    <row r="489">
      <c r="D489" s="2" t="n"/>
      <c r="F489" s="6" t="n"/>
      <c r="H489" s="2" t="n"/>
    </row>
    <row r="490">
      <c r="D490" s="2" t="n"/>
      <c r="F490" s="6" t="n"/>
      <c r="H490" s="2" t="n"/>
    </row>
    <row r="491">
      <c r="D491" s="2" t="n"/>
      <c r="F491" s="6" t="n"/>
      <c r="H491" s="2" t="n"/>
    </row>
    <row r="492">
      <c r="D492" s="2" t="n"/>
      <c r="F492" s="6" t="n"/>
      <c r="H492" s="2" t="n"/>
    </row>
    <row r="493">
      <c r="D493" s="2" t="n"/>
      <c r="F493" s="6" t="n"/>
      <c r="H493" s="2" t="n"/>
    </row>
    <row r="494">
      <c r="D494" s="2" t="n"/>
      <c r="F494" s="6" t="n"/>
      <c r="H494" s="2" t="n"/>
    </row>
    <row r="495">
      <c r="D495" s="2" t="n"/>
      <c r="F495" s="6" t="n"/>
      <c r="H495" s="2" t="n"/>
    </row>
    <row r="496">
      <c r="D496" s="2" t="n"/>
      <c r="F496" s="6" t="n"/>
      <c r="H496" s="2" t="n"/>
    </row>
    <row r="497">
      <c r="D497" s="2" t="n"/>
      <c r="F497" s="6" t="n"/>
      <c r="H497" s="2" t="n"/>
    </row>
    <row r="498">
      <c r="D498" s="2" t="n"/>
      <c r="F498" s="6" t="n"/>
      <c r="H498" s="2" t="n"/>
    </row>
    <row r="499">
      <c r="D499" s="2" t="n"/>
      <c r="F499" s="6" t="n"/>
      <c r="H499" s="2" t="n"/>
    </row>
    <row r="500">
      <c r="D500" s="2" t="n"/>
      <c r="F500" s="6" t="n"/>
      <c r="H500" s="2" t="n"/>
    </row>
    <row r="501">
      <c r="D501" s="2" t="n"/>
      <c r="F501" s="6" t="n"/>
      <c r="H501" s="2" t="n"/>
    </row>
  </sheetData>
  <dataValidations count="1">
    <dataValidation sqref="G2:G501" showDropDown="0" showInputMessage="0" showErrorMessage="0" allowBlank="1" errorTitle="Invalid Status" error="Please select a valid status" type="list">
      <formula1>"Not Started,In Progress,Done,Late"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2" customWidth="1" min="10" max="10"/>
    <col hidden="1" width="13" customWidth="1" min="11" max="11"/>
    <col hidden="1" width="13" customWidth="1" min="12" max="12"/>
  </cols>
  <sheetData>
    <row r="1">
      <c r="J1" t="inlineStr">
        <is>
          <t>LatestDate</t>
        </is>
      </c>
      <c r="K1" t="inlineStr">
        <is>
          <t>WeekStart</t>
        </is>
      </c>
      <c r="L1" t="inlineStr">
        <is>
          <t>WeekEnd</t>
        </is>
      </c>
    </row>
    <row r="2">
      <c r="A2" s="7">
        <f>"Week: "&amp;TEXT(K2,"dd-mm-yyyy")&amp;" - "&amp;TEXT(L2,"dd-mm-yyyy")</f>
        <v/>
      </c>
      <c r="J2">
        <f>MAX('Time Entries'!A:A)</f>
        <v/>
      </c>
      <c r="K2">
        <f>J2-WEEKDAY(J2,3)</f>
        <v/>
      </c>
      <c r="L2">
        <f>J2+6</f>
        <v/>
      </c>
    </row>
    <row r="4">
      <c r="A4" s="1" t="inlineStr">
        <is>
          <t>Task</t>
        </is>
      </c>
      <c r="B4" s="1" t="inlineStr">
        <is>
          <t>Category</t>
        </is>
      </c>
      <c r="C4" s="8">
        <f>J2+0</f>
        <v/>
      </c>
      <c r="D4" s="8">
        <f>K2+1</f>
        <v/>
      </c>
      <c r="E4" s="8">
        <f>L2+2</f>
        <v/>
      </c>
      <c r="F4" s="8">
        <f>M2+3</f>
        <v/>
      </c>
      <c r="G4" s="8">
        <f>N2+4</f>
        <v/>
      </c>
      <c r="H4" s="8">
        <f>O2+5</f>
        <v/>
      </c>
      <c r="I4" s="8">
        <f>P2+6</f>
        <v/>
      </c>
      <c r="J4" s="1" t="inlineStr">
        <is>
          <t>Total</t>
        </is>
      </c>
      <c r="O4" s="9">
        <f>K2+0</f>
        <v/>
      </c>
      <c r="P4" s="9">
        <f>K2+1</f>
        <v/>
      </c>
      <c r="Q4" s="9">
        <f>K2+2</f>
        <v/>
      </c>
      <c r="R4" s="9">
        <f>K2+3</f>
        <v/>
      </c>
      <c r="S4" s="9">
        <f>K2+4</f>
        <v/>
      </c>
      <c r="T4" s="9">
        <f>K2+5</f>
        <v/>
      </c>
      <c r="U4" s="9">
        <f>K2+6</f>
        <v/>
      </c>
    </row>
    <row r="5">
      <c r="A5">
        <f>IFERROR(INDEX('Time Entries'!$O:$O,MATCH(ROW()-4,'Time Entries'!$P:$P,0)),"")</f>
        <v/>
      </c>
      <c r="B5">
        <f>IF($A5="","",IFERROR(INDEX('Time Entries'!G:G,MATCH($A5,'Time Entries'!$O:$O,0)),""))</f>
        <v/>
      </c>
      <c r="C5" s="4">
        <f>IF($A5="","",SUMIFS('Time Entries'!J:J,'Time Entries'!O:O,$A5,'Time Entries'!A:A,$O$4+0))</f>
        <v/>
      </c>
      <c r="D5" s="4">
        <f>IF($A5="","",SUMIFS('Time Entries'!J:J,'Time Entries'!O:O,$A5,'Time Entries'!A:A,$O$4+1))</f>
        <v/>
      </c>
      <c r="E5" s="4">
        <f>IF($A5="","",SUMIFS('Time Entries'!J:J,'Time Entries'!O:O,$A5,'Time Entries'!A:A,$O$4+2))</f>
        <v/>
      </c>
      <c r="F5" s="4">
        <f>IF($A5="","",SUMIFS('Time Entries'!J:J,'Time Entries'!O:O,$A5,'Time Entries'!A:A,$O$4+3))</f>
        <v/>
      </c>
      <c r="G5" s="4">
        <f>IF($A5="","",SUMIFS('Time Entries'!J:J,'Time Entries'!O:O,$A5,'Time Entries'!A:A,$O$4+4))</f>
        <v/>
      </c>
      <c r="H5" s="4">
        <f>IF($A5="","",SUMIFS('Time Entries'!J:J,'Time Entries'!O:O,$A5,'Time Entries'!A:A,$O$4+5))</f>
        <v/>
      </c>
      <c r="I5" s="4">
        <f>IF($A5="","",SUMIFS('Time Entries'!J:J,'Time Entries'!O:O,$A5,'Time Entries'!A:A,$O$4+6))</f>
        <v/>
      </c>
      <c r="J5" s="4">
        <f>IF($A5="","",SUM(C5:I5))</f>
        <v/>
      </c>
    </row>
    <row r="6">
      <c r="A6">
        <f>IFERROR(INDEX('Time Entries'!$O:$O,MATCH(ROW()-4,'Time Entries'!$P:$P,0)),"")</f>
        <v/>
      </c>
      <c r="B6">
        <f>IF($A6="","",IFERROR(INDEX('Time Entries'!G:G,MATCH($A6,'Time Entries'!$O:$O,0)),""))</f>
        <v/>
      </c>
      <c r="C6" s="4">
        <f>IF($A6="","",SUMIFS('Time Entries'!J:J,'Time Entries'!O:O,$A6,'Time Entries'!A:A,$O$4+0))</f>
        <v/>
      </c>
      <c r="D6" s="4">
        <f>IF($A6="","",SUMIFS('Time Entries'!J:J,'Time Entries'!O:O,$A6,'Time Entries'!A:A,$O$4+1))</f>
        <v/>
      </c>
      <c r="E6" s="4">
        <f>IF($A6="","",SUMIFS('Time Entries'!J:J,'Time Entries'!O:O,$A6,'Time Entries'!A:A,$O$4+2))</f>
        <v/>
      </c>
      <c r="F6" s="4">
        <f>IF($A6="","",SUMIFS('Time Entries'!J:J,'Time Entries'!O:O,$A6,'Time Entries'!A:A,$O$4+3))</f>
        <v/>
      </c>
      <c r="G6" s="4">
        <f>IF($A6="","",SUMIFS('Time Entries'!J:J,'Time Entries'!O:O,$A6,'Time Entries'!A:A,$O$4+4))</f>
        <v/>
      </c>
      <c r="H6" s="4">
        <f>IF($A6="","",SUMIFS('Time Entries'!J:J,'Time Entries'!O:O,$A6,'Time Entries'!A:A,$O$4+5))</f>
        <v/>
      </c>
      <c r="I6" s="4">
        <f>IF($A6="","",SUMIFS('Time Entries'!J:J,'Time Entries'!O:O,$A6,'Time Entries'!A:A,$O$4+6))</f>
        <v/>
      </c>
      <c r="J6" s="4">
        <f>IF($A6="","",SUM(C6:I6))</f>
        <v/>
      </c>
    </row>
    <row r="7">
      <c r="A7">
        <f>IFERROR(INDEX('Time Entries'!$O:$O,MATCH(ROW()-4,'Time Entries'!$P:$P,0)),"")</f>
        <v/>
      </c>
      <c r="B7">
        <f>IF($A7="","",IFERROR(INDEX('Time Entries'!G:G,MATCH($A7,'Time Entries'!$O:$O,0)),""))</f>
        <v/>
      </c>
      <c r="C7" s="4">
        <f>IF($A7="","",SUMIFS('Time Entries'!J:J,'Time Entries'!O:O,$A7,'Time Entries'!A:A,$O$4+0))</f>
        <v/>
      </c>
      <c r="D7" s="4">
        <f>IF($A7="","",SUMIFS('Time Entries'!J:J,'Time Entries'!O:O,$A7,'Time Entries'!A:A,$O$4+1))</f>
        <v/>
      </c>
      <c r="E7" s="4">
        <f>IF($A7="","",SUMIFS('Time Entries'!J:J,'Time Entries'!O:O,$A7,'Time Entries'!A:A,$O$4+2))</f>
        <v/>
      </c>
      <c r="F7" s="4">
        <f>IF($A7="","",SUMIFS('Time Entries'!J:J,'Time Entries'!O:O,$A7,'Time Entries'!A:A,$O$4+3))</f>
        <v/>
      </c>
      <c r="G7" s="4">
        <f>IF($A7="","",SUMIFS('Time Entries'!J:J,'Time Entries'!O:O,$A7,'Time Entries'!A:A,$O$4+4))</f>
        <v/>
      </c>
      <c r="H7" s="4">
        <f>IF($A7="","",SUMIFS('Time Entries'!J:J,'Time Entries'!O:O,$A7,'Time Entries'!A:A,$O$4+5))</f>
        <v/>
      </c>
      <c r="I7" s="4">
        <f>IF($A7="","",SUMIFS('Time Entries'!J:J,'Time Entries'!O:O,$A7,'Time Entries'!A:A,$O$4+6))</f>
        <v/>
      </c>
      <c r="J7" s="4">
        <f>IF($A7="","",SUM(C7:I7))</f>
        <v/>
      </c>
    </row>
    <row r="8">
      <c r="A8">
        <f>IFERROR(INDEX('Time Entries'!$O:$O,MATCH(ROW()-4,'Time Entries'!$P:$P,0)),"")</f>
        <v/>
      </c>
      <c r="B8">
        <f>IF($A8="","",IFERROR(INDEX('Time Entries'!G:G,MATCH($A8,'Time Entries'!$O:$O,0)),""))</f>
        <v/>
      </c>
      <c r="C8" s="4">
        <f>IF($A8="","",SUMIFS('Time Entries'!J:J,'Time Entries'!O:O,$A8,'Time Entries'!A:A,$O$4+0))</f>
        <v/>
      </c>
      <c r="D8" s="4">
        <f>IF($A8="","",SUMIFS('Time Entries'!J:J,'Time Entries'!O:O,$A8,'Time Entries'!A:A,$O$4+1))</f>
        <v/>
      </c>
      <c r="E8" s="4">
        <f>IF($A8="","",SUMIFS('Time Entries'!J:J,'Time Entries'!O:O,$A8,'Time Entries'!A:A,$O$4+2))</f>
        <v/>
      </c>
      <c r="F8" s="4">
        <f>IF($A8="","",SUMIFS('Time Entries'!J:J,'Time Entries'!O:O,$A8,'Time Entries'!A:A,$O$4+3))</f>
        <v/>
      </c>
      <c r="G8" s="4">
        <f>IF($A8="","",SUMIFS('Time Entries'!J:J,'Time Entries'!O:O,$A8,'Time Entries'!A:A,$O$4+4))</f>
        <v/>
      </c>
      <c r="H8" s="4">
        <f>IF($A8="","",SUMIFS('Time Entries'!J:J,'Time Entries'!O:O,$A8,'Time Entries'!A:A,$O$4+5))</f>
        <v/>
      </c>
      <c r="I8" s="4">
        <f>IF($A8="","",SUMIFS('Time Entries'!J:J,'Time Entries'!O:O,$A8,'Time Entries'!A:A,$O$4+6))</f>
        <v/>
      </c>
      <c r="J8" s="4">
        <f>IF($A8="","",SUM(C8:I8))</f>
        <v/>
      </c>
    </row>
    <row r="9">
      <c r="A9">
        <f>IFERROR(INDEX('Time Entries'!$O:$O,MATCH(ROW()-4,'Time Entries'!$P:$P,0)),"")</f>
        <v/>
      </c>
      <c r="B9">
        <f>IF($A9="","",IFERROR(INDEX('Time Entries'!G:G,MATCH($A9,'Time Entries'!$O:$O,0)),""))</f>
        <v/>
      </c>
      <c r="C9" s="4">
        <f>IF($A9="","",SUMIFS('Time Entries'!J:J,'Time Entries'!O:O,$A9,'Time Entries'!A:A,$O$4+0))</f>
        <v/>
      </c>
      <c r="D9" s="4">
        <f>IF($A9="","",SUMIFS('Time Entries'!J:J,'Time Entries'!O:O,$A9,'Time Entries'!A:A,$O$4+1))</f>
        <v/>
      </c>
      <c r="E9" s="4">
        <f>IF($A9="","",SUMIFS('Time Entries'!J:J,'Time Entries'!O:O,$A9,'Time Entries'!A:A,$O$4+2))</f>
        <v/>
      </c>
      <c r="F9" s="4">
        <f>IF($A9="","",SUMIFS('Time Entries'!J:J,'Time Entries'!O:O,$A9,'Time Entries'!A:A,$O$4+3))</f>
        <v/>
      </c>
      <c r="G9" s="4">
        <f>IF($A9="","",SUMIFS('Time Entries'!J:J,'Time Entries'!O:O,$A9,'Time Entries'!A:A,$O$4+4))</f>
        <v/>
      </c>
      <c r="H9" s="4">
        <f>IF($A9="","",SUMIFS('Time Entries'!J:J,'Time Entries'!O:O,$A9,'Time Entries'!A:A,$O$4+5))</f>
        <v/>
      </c>
      <c r="I9" s="4">
        <f>IF($A9="","",SUMIFS('Time Entries'!J:J,'Time Entries'!O:O,$A9,'Time Entries'!A:A,$O$4+6))</f>
        <v/>
      </c>
      <c r="J9" s="4">
        <f>IF($A9="","",SUM(C9:I9))</f>
        <v/>
      </c>
    </row>
    <row r="10">
      <c r="A10">
        <f>IFERROR(INDEX('Time Entries'!$O:$O,MATCH(ROW()-4,'Time Entries'!$P:$P,0)),"")</f>
        <v/>
      </c>
      <c r="B10">
        <f>IF($A10="","",IFERROR(INDEX('Time Entries'!G:G,MATCH($A10,'Time Entries'!$O:$O,0)),""))</f>
        <v/>
      </c>
      <c r="C10" s="4">
        <f>IF($A10="","",SUMIFS('Time Entries'!J:J,'Time Entries'!O:O,$A10,'Time Entries'!A:A,$O$4+0))</f>
        <v/>
      </c>
      <c r="D10" s="4">
        <f>IF($A10="","",SUMIFS('Time Entries'!J:J,'Time Entries'!O:O,$A10,'Time Entries'!A:A,$O$4+1))</f>
        <v/>
      </c>
      <c r="E10" s="4">
        <f>IF($A10="","",SUMIFS('Time Entries'!J:J,'Time Entries'!O:O,$A10,'Time Entries'!A:A,$O$4+2))</f>
        <v/>
      </c>
      <c r="F10" s="4">
        <f>IF($A10="","",SUMIFS('Time Entries'!J:J,'Time Entries'!O:O,$A10,'Time Entries'!A:A,$O$4+3))</f>
        <v/>
      </c>
      <c r="G10" s="4">
        <f>IF($A10="","",SUMIFS('Time Entries'!J:J,'Time Entries'!O:O,$A10,'Time Entries'!A:A,$O$4+4))</f>
        <v/>
      </c>
      <c r="H10" s="4">
        <f>IF($A10="","",SUMIFS('Time Entries'!J:J,'Time Entries'!O:O,$A10,'Time Entries'!A:A,$O$4+5))</f>
        <v/>
      </c>
      <c r="I10" s="4">
        <f>IF($A10="","",SUMIFS('Time Entries'!J:J,'Time Entries'!O:O,$A10,'Time Entries'!A:A,$O$4+6))</f>
        <v/>
      </c>
      <c r="J10" s="4">
        <f>IF($A10="","",SUM(C10:I10))</f>
        <v/>
      </c>
    </row>
    <row r="11">
      <c r="A11">
        <f>IFERROR(INDEX('Time Entries'!$O:$O,MATCH(ROW()-4,'Time Entries'!$P:$P,0)),"")</f>
        <v/>
      </c>
      <c r="B11">
        <f>IF($A11="","",IFERROR(INDEX('Time Entries'!G:G,MATCH($A11,'Time Entries'!$O:$O,0)),""))</f>
        <v/>
      </c>
      <c r="C11" s="4">
        <f>IF($A11="","",SUMIFS('Time Entries'!J:J,'Time Entries'!O:O,$A11,'Time Entries'!A:A,$O$4+0))</f>
        <v/>
      </c>
      <c r="D11" s="4">
        <f>IF($A11="","",SUMIFS('Time Entries'!J:J,'Time Entries'!O:O,$A11,'Time Entries'!A:A,$O$4+1))</f>
        <v/>
      </c>
      <c r="E11" s="4">
        <f>IF($A11="","",SUMIFS('Time Entries'!J:J,'Time Entries'!O:O,$A11,'Time Entries'!A:A,$O$4+2))</f>
        <v/>
      </c>
      <c r="F11" s="4">
        <f>IF($A11="","",SUMIFS('Time Entries'!J:J,'Time Entries'!O:O,$A11,'Time Entries'!A:A,$O$4+3))</f>
        <v/>
      </c>
      <c r="G11" s="4">
        <f>IF($A11="","",SUMIFS('Time Entries'!J:J,'Time Entries'!O:O,$A11,'Time Entries'!A:A,$O$4+4))</f>
        <v/>
      </c>
      <c r="H11" s="4">
        <f>IF($A11="","",SUMIFS('Time Entries'!J:J,'Time Entries'!O:O,$A11,'Time Entries'!A:A,$O$4+5))</f>
        <v/>
      </c>
      <c r="I11" s="4">
        <f>IF($A11="","",SUMIFS('Time Entries'!J:J,'Time Entries'!O:O,$A11,'Time Entries'!A:A,$O$4+6))</f>
        <v/>
      </c>
      <c r="J11" s="4">
        <f>IF($A11="","",SUM(C11:I11))</f>
        <v/>
      </c>
    </row>
    <row r="12">
      <c r="A12">
        <f>IFERROR(INDEX('Time Entries'!$O:$O,MATCH(ROW()-4,'Time Entries'!$P:$P,0)),"")</f>
        <v/>
      </c>
      <c r="B12">
        <f>IF($A12="","",IFERROR(INDEX('Time Entries'!G:G,MATCH($A12,'Time Entries'!$O:$O,0)),""))</f>
        <v/>
      </c>
      <c r="C12" s="4">
        <f>IF($A12="","",SUMIFS('Time Entries'!J:J,'Time Entries'!O:O,$A12,'Time Entries'!A:A,$O$4+0))</f>
        <v/>
      </c>
      <c r="D12" s="4">
        <f>IF($A12="","",SUMIFS('Time Entries'!J:J,'Time Entries'!O:O,$A12,'Time Entries'!A:A,$O$4+1))</f>
        <v/>
      </c>
      <c r="E12" s="4">
        <f>IF($A12="","",SUMIFS('Time Entries'!J:J,'Time Entries'!O:O,$A12,'Time Entries'!A:A,$O$4+2))</f>
        <v/>
      </c>
      <c r="F12" s="4">
        <f>IF($A12="","",SUMIFS('Time Entries'!J:J,'Time Entries'!O:O,$A12,'Time Entries'!A:A,$O$4+3))</f>
        <v/>
      </c>
      <c r="G12" s="4">
        <f>IF($A12="","",SUMIFS('Time Entries'!J:J,'Time Entries'!O:O,$A12,'Time Entries'!A:A,$O$4+4))</f>
        <v/>
      </c>
      <c r="H12" s="4">
        <f>IF($A12="","",SUMIFS('Time Entries'!J:J,'Time Entries'!O:O,$A12,'Time Entries'!A:A,$O$4+5))</f>
        <v/>
      </c>
      <c r="I12" s="4">
        <f>IF($A12="","",SUMIFS('Time Entries'!J:J,'Time Entries'!O:O,$A12,'Time Entries'!A:A,$O$4+6))</f>
        <v/>
      </c>
      <c r="J12" s="4">
        <f>IF($A12="","",SUM(C12:I12))</f>
        <v/>
      </c>
    </row>
    <row r="13">
      <c r="A13">
        <f>IFERROR(INDEX('Time Entries'!$O:$O,MATCH(ROW()-4,'Time Entries'!$P:$P,0)),"")</f>
        <v/>
      </c>
      <c r="B13">
        <f>IF($A13="","",IFERROR(INDEX('Time Entries'!G:G,MATCH($A13,'Time Entries'!$O:$O,0)),""))</f>
        <v/>
      </c>
      <c r="C13" s="4">
        <f>IF($A13="","",SUMIFS('Time Entries'!J:J,'Time Entries'!O:O,$A13,'Time Entries'!A:A,$O$4+0))</f>
        <v/>
      </c>
      <c r="D13" s="4">
        <f>IF($A13="","",SUMIFS('Time Entries'!J:J,'Time Entries'!O:O,$A13,'Time Entries'!A:A,$O$4+1))</f>
        <v/>
      </c>
      <c r="E13" s="4">
        <f>IF($A13="","",SUMIFS('Time Entries'!J:J,'Time Entries'!O:O,$A13,'Time Entries'!A:A,$O$4+2))</f>
        <v/>
      </c>
      <c r="F13" s="4">
        <f>IF($A13="","",SUMIFS('Time Entries'!J:J,'Time Entries'!O:O,$A13,'Time Entries'!A:A,$O$4+3))</f>
        <v/>
      </c>
      <c r="G13" s="4">
        <f>IF($A13="","",SUMIFS('Time Entries'!J:J,'Time Entries'!O:O,$A13,'Time Entries'!A:A,$O$4+4))</f>
        <v/>
      </c>
      <c r="H13" s="4">
        <f>IF($A13="","",SUMIFS('Time Entries'!J:J,'Time Entries'!O:O,$A13,'Time Entries'!A:A,$O$4+5))</f>
        <v/>
      </c>
      <c r="I13" s="4">
        <f>IF($A13="","",SUMIFS('Time Entries'!J:J,'Time Entries'!O:O,$A13,'Time Entries'!A:A,$O$4+6))</f>
        <v/>
      </c>
      <c r="J13" s="4">
        <f>IF($A13="","",SUM(C13:I13))</f>
        <v/>
      </c>
    </row>
    <row r="14">
      <c r="A14">
        <f>IFERROR(INDEX('Time Entries'!$O:$O,MATCH(ROW()-4,'Time Entries'!$P:$P,0)),"")</f>
        <v/>
      </c>
      <c r="B14">
        <f>IF($A14="","",IFERROR(INDEX('Time Entries'!G:G,MATCH($A14,'Time Entries'!$O:$O,0)),""))</f>
        <v/>
      </c>
      <c r="C14" s="4">
        <f>IF($A14="","",SUMIFS('Time Entries'!J:J,'Time Entries'!O:O,$A14,'Time Entries'!A:A,$O$4+0))</f>
        <v/>
      </c>
      <c r="D14" s="4">
        <f>IF($A14="","",SUMIFS('Time Entries'!J:J,'Time Entries'!O:O,$A14,'Time Entries'!A:A,$O$4+1))</f>
        <v/>
      </c>
      <c r="E14" s="4">
        <f>IF($A14="","",SUMIFS('Time Entries'!J:J,'Time Entries'!O:O,$A14,'Time Entries'!A:A,$O$4+2))</f>
        <v/>
      </c>
      <c r="F14" s="4">
        <f>IF($A14="","",SUMIFS('Time Entries'!J:J,'Time Entries'!O:O,$A14,'Time Entries'!A:A,$O$4+3))</f>
        <v/>
      </c>
      <c r="G14" s="4">
        <f>IF($A14="","",SUMIFS('Time Entries'!J:J,'Time Entries'!O:O,$A14,'Time Entries'!A:A,$O$4+4))</f>
        <v/>
      </c>
      <c r="H14" s="4">
        <f>IF($A14="","",SUMIFS('Time Entries'!J:J,'Time Entries'!O:O,$A14,'Time Entries'!A:A,$O$4+5))</f>
        <v/>
      </c>
      <c r="I14" s="4">
        <f>IF($A14="","",SUMIFS('Time Entries'!J:J,'Time Entries'!O:O,$A14,'Time Entries'!A:A,$O$4+6))</f>
        <v/>
      </c>
      <c r="J14" s="4">
        <f>IF($A14="","",SUM(C14:I14))</f>
        <v/>
      </c>
    </row>
    <row r="15">
      <c r="A15">
        <f>IFERROR(INDEX('Time Entries'!$O:$O,MATCH(ROW()-4,'Time Entries'!$P:$P,0)),"")</f>
        <v/>
      </c>
      <c r="B15">
        <f>IF($A15="","",IFERROR(INDEX('Time Entries'!G:G,MATCH($A15,'Time Entries'!$O:$O,0)),""))</f>
        <v/>
      </c>
      <c r="C15" s="4">
        <f>IF($A15="","",SUMIFS('Time Entries'!J:J,'Time Entries'!O:O,$A15,'Time Entries'!A:A,$O$4+0))</f>
        <v/>
      </c>
      <c r="D15" s="4">
        <f>IF($A15="","",SUMIFS('Time Entries'!J:J,'Time Entries'!O:O,$A15,'Time Entries'!A:A,$O$4+1))</f>
        <v/>
      </c>
      <c r="E15" s="4">
        <f>IF($A15="","",SUMIFS('Time Entries'!J:J,'Time Entries'!O:O,$A15,'Time Entries'!A:A,$O$4+2))</f>
        <v/>
      </c>
      <c r="F15" s="4">
        <f>IF($A15="","",SUMIFS('Time Entries'!J:J,'Time Entries'!O:O,$A15,'Time Entries'!A:A,$O$4+3))</f>
        <v/>
      </c>
      <c r="G15" s="4">
        <f>IF($A15="","",SUMIFS('Time Entries'!J:J,'Time Entries'!O:O,$A15,'Time Entries'!A:A,$O$4+4))</f>
        <v/>
      </c>
      <c r="H15" s="4">
        <f>IF($A15="","",SUMIFS('Time Entries'!J:J,'Time Entries'!O:O,$A15,'Time Entries'!A:A,$O$4+5))</f>
        <v/>
      </c>
      <c r="I15" s="4">
        <f>IF($A15="","",SUMIFS('Time Entries'!J:J,'Time Entries'!O:O,$A15,'Time Entries'!A:A,$O$4+6))</f>
        <v/>
      </c>
      <c r="J15" s="4">
        <f>IF($A15="","",SUM(C15:I15))</f>
        <v/>
      </c>
    </row>
    <row r="16">
      <c r="A16">
        <f>IFERROR(INDEX('Time Entries'!$O:$O,MATCH(ROW()-4,'Time Entries'!$P:$P,0)),"")</f>
        <v/>
      </c>
      <c r="B16">
        <f>IF($A16="","",IFERROR(INDEX('Time Entries'!G:G,MATCH($A16,'Time Entries'!$O:$O,0)),""))</f>
        <v/>
      </c>
      <c r="C16" s="4">
        <f>IF($A16="","",SUMIFS('Time Entries'!J:J,'Time Entries'!O:O,$A16,'Time Entries'!A:A,$O$4+0))</f>
        <v/>
      </c>
      <c r="D16" s="4">
        <f>IF($A16="","",SUMIFS('Time Entries'!J:J,'Time Entries'!O:O,$A16,'Time Entries'!A:A,$O$4+1))</f>
        <v/>
      </c>
      <c r="E16" s="4">
        <f>IF($A16="","",SUMIFS('Time Entries'!J:J,'Time Entries'!O:O,$A16,'Time Entries'!A:A,$O$4+2))</f>
        <v/>
      </c>
      <c r="F16" s="4">
        <f>IF($A16="","",SUMIFS('Time Entries'!J:J,'Time Entries'!O:O,$A16,'Time Entries'!A:A,$O$4+3))</f>
        <v/>
      </c>
      <c r="G16" s="4">
        <f>IF($A16="","",SUMIFS('Time Entries'!J:J,'Time Entries'!O:O,$A16,'Time Entries'!A:A,$O$4+4))</f>
        <v/>
      </c>
      <c r="H16" s="4">
        <f>IF($A16="","",SUMIFS('Time Entries'!J:J,'Time Entries'!O:O,$A16,'Time Entries'!A:A,$O$4+5))</f>
        <v/>
      </c>
      <c r="I16" s="4">
        <f>IF($A16="","",SUMIFS('Time Entries'!J:J,'Time Entries'!O:O,$A16,'Time Entries'!A:A,$O$4+6))</f>
        <v/>
      </c>
      <c r="J16" s="4">
        <f>IF($A16="","",SUM(C16:I16))</f>
        <v/>
      </c>
    </row>
    <row r="17">
      <c r="A17">
        <f>IFERROR(INDEX('Time Entries'!$O:$O,MATCH(ROW()-4,'Time Entries'!$P:$P,0)),"")</f>
        <v/>
      </c>
      <c r="B17">
        <f>IF($A17="","",IFERROR(INDEX('Time Entries'!G:G,MATCH($A17,'Time Entries'!$O:$O,0)),""))</f>
        <v/>
      </c>
      <c r="C17" s="4">
        <f>IF($A17="","",SUMIFS('Time Entries'!J:J,'Time Entries'!O:O,$A17,'Time Entries'!A:A,$O$4+0))</f>
        <v/>
      </c>
      <c r="D17" s="4">
        <f>IF($A17="","",SUMIFS('Time Entries'!J:J,'Time Entries'!O:O,$A17,'Time Entries'!A:A,$O$4+1))</f>
        <v/>
      </c>
      <c r="E17" s="4">
        <f>IF($A17="","",SUMIFS('Time Entries'!J:J,'Time Entries'!O:O,$A17,'Time Entries'!A:A,$O$4+2))</f>
        <v/>
      </c>
      <c r="F17" s="4">
        <f>IF($A17="","",SUMIFS('Time Entries'!J:J,'Time Entries'!O:O,$A17,'Time Entries'!A:A,$O$4+3))</f>
        <v/>
      </c>
      <c r="G17" s="4">
        <f>IF($A17="","",SUMIFS('Time Entries'!J:J,'Time Entries'!O:O,$A17,'Time Entries'!A:A,$O$4+4))</f>
        <v/>
      </c>
      <c r="H17" s="4">
        <f>IF($A17="","",SUMIFS('Time Entries'!J:J,'Time Entries'!O:O,$A17,'Time Entries'!A:A,$O$4+5))</f>
        <v/>
      </c>
      <c r="I17" s="4">
        <f>IF($A17="","",SUMIFS('Time Entries'!J:J,'Time Entries'!O:O,$A17,'Time Entries'!A:A,$O$4+6))</f>
        <v/>
      </c>
      <c r="J17" s="4">
        <f>IF($A17="","",SUM(C17:I17))</f>
        <v/>
      </c>
    </row>
    <row r="18">
      <c r="A18">
        <f>IFERROR(INDEX('Time Entries'!$O:$O,MATCH(ROW()-4,'Time Entries'!$P:$P,0)),"")</f>
        <v/>
      </c>
      <c r="B18">
        <f>IF($A18="","",IFERROR(INDEX('Time Entries'!G:G,MATCH($A18,'Time Entries'!$O:$O,0)),""))</f>
        <v/>
      </c>
      <c r="C18" s="4">
        <f>IF($A18="","",SUMIFS('Time Entries'!J:J,'Time Entries'!O:O,$A18,'Time Entries'!A:A,$O$4+0))</f>
        <v/>
      </c>
      <c r="D18" s="4">
        <f>IF($A18="","",SUMIFS('Time Entries'!J:J,'Time Entries'!O:O,$A18,'Time Entries'!A:A,$O$4+1))</f>
        <v/>
      </c>
      <c r="E18" s="4">
        <f>IF($A18="","",SUMIFS('Time Entries'!J:J,'Time Entries'!O:O,$A18,'Time Entries'!A:A,$O$4+2))</f>
        <v/>
      </c>
      <c r="F18" s="4">
        <f>IF($A18="","",SUMIFS('Time Entries'!J:J,'Time Entries'!O:O,$A18,'Time Entries'!A:A,$O$4+3))</f>
        <v/>
      </c>
      <c r="G18" s="4">
        <f>IF($A18="","",SUMIFS('Time Entries'!J:J,'Time Entries'!O:O,$A18,'Time Entries'!A:A,$O$4+4))</f>
        <v/>
      </c>
      <c r="H18" s="4">
        <f>IF($A18="","",SUMIFS('Time Entries'!J:J,'Time Entries'!O:O,$A18,'Time Entries'!A:A,$O$4+5))</f>
        <v/>
      </c>
      <c r="I18" s="4">
        <f>IF($A18="","",SUMIFS('Time Entries'!J:J,'Time Entries'!O:O,$A18,'Time Entries'!A:A,$O$4+6))</f>
        <v/>
      </c>
      <c r="J18" s="4">
        <f>IF($A18="","",SUM(C18:I18))</f>
        <v/>
      </c>
    </row>
    <row r="19">
      <c r="A19">
        <f>IFERROR(INDEX('Time Entries'!$O:$O,MATCH(ROW()-4,'Time Entries'!$P:$P,0)),"")</f>
        <v/>
      </c>
      <c r="B19">
        <f>IF($A19="","",IFERROR(INDEX('Time Entries'!G:G,MATCH($A19,'Time Entries'!$O:$O,0)),""))</f>
        <v/>
      </c>
      <c r="C19" s="4">
        <f>IF($A19="","",SUMIFS('Time Entries'!J:J,'Time Entries'!O:O,$A19,'Time Entries'!A:A,$O$4+0))</f>
        <v/>
      </c>
      <c r="D19" s="4">
        <f>IF($A19="","",SUMIFS('Time Entries'!J:J,'Time Entries'!O:O,$A19,'Time Entries'!A:A,$O$4+1))</f>
        <v/>
      </c>
      <c r="E19" s="4">
        <f>IF($A19="","",SUMIFS('Time Entries'!J:J,'Time Entries'!O:O,$A19,'Time Entries'!A:A,$O$4+2))</f>
        <v/>
      </c>
      <c r="F19" s="4">
        <f>IF($A19="","",SUMIFS('Time Entries'!J:J,'Time Entries'!O:O,$A19,'Time Entries'!A:A,$O$4+3))</f>
        <v/>
      </c>
      <c r="G19" s="4">
        <f>IF($A19="","",SUMIFS('Time Entries'!J:J,'Time Entries'!O:O,$A19,'Time Entries'!A:A,$O$4+4))</f>
        <v/>
      </c>
      <c r="H19" s="4">
        <f>IF($A19="","",SUMIFS('Time Entries'!J:J,'Time Entries'!O:O,$A19,'Time Entries'!A:A,$O$4+5))</f>
        <v/>
      </c>
      <c r="I19" s="4">
        <f>IF($A19="","",SUMIFS('Time Entries'!J:J,'Time Entries'!O:O,$A19,'Time Entries'!A:A,$O$4+6))</f>
        <v/>
      </c>
      <c r="J19" s="4">
        <f>IF($A19="","",SUM(C19:I19))</f>
        <v/>
      </c>
    </row>
    <row r="20">
      <c r="A20">
        <f>IFERROR(INDEX('Time Entries'!$O:$O,MATCH(ROW()-4,'Time Entries'!$P:$P,0)),"")</f>
        <v/>
      </c>
      <c r="B20">
        <f>IF($A20="","",IFERROR(INDEX('Time Entries'!G:G,MATCH($A20,'Time Entries'!$O:$O,0)),""))</f>
        <v/>
      </c>
      <c r="C20" s="4">
        <f>IF($A20="","",SUMIFS('Time Entries'!J:J,'Time Entries'!O:O,$A20,'Time Entries'!A:A,$O$4+0))</f>
        <v/>
      </c>
      <c r="D20" s="4">
        <f>IF($A20="","",SUMIFS('Time Entries'!J:J,'Time Entries'!O:O,$A20,'Time Entries'!A:A,$O$4+1))</f>
        <v/>
      </c>
      <c r="E20" s="4">
        <f>IF($A20="","",SUMIFS('Time Entries'!J:J,'Time Entries'!O:O,$A20,'Time Entries'!A:A,$O$4+2))</f>
        <v/>
      </c>
      <c r="F20" s="4">
        <f>IF($A20="","",SUMIFS('Time Entries'!J:J,'Time Entries'!O:O,$A20,'Time Entries'!A:A,$O$4+3))</f>
        <v/>
      </c>
      <c r="G20" s="4">
        <f>IF($A20="","",SUMIFS('Time Entries'!J:J,'Time Entries'!O:O,$A20,'Time Entries'!A:A,$O$4+4))</f>
        <v/>
      </c>
      <c r="H20" s="4">
        <f>IF($A20="","",SUMIFS('Time Entries'!J:J,'Time Entries'!O:O,$A20,'Time Entries'!A:A,$O$4+5))</f>
        <v/>
      </c>
      <c r="I20" s="4">
        <f>IF($A20="","",SUMIFS('Time Entries'!J:J,'Time Entries'!O:O,$A20,'Time Entries'!A:A,$O$4+6))</f>
        <v/>
      </c>
      <c r="J20" s="4">
        <f>IF($A20="","",SUM(C20:I20))</f>
        <v/>
      </c>
    </row>
    <row r="21">
      <c r="A21">
        <f>IFERROR(INDEX('Time Entries'!$O:$O,MATCH(ROW()-4,'Time Entries'!$P:$P,0)),"")</f>
        <v/>
      </c>
      <c r="B21">
        <f>IF($A21="","",IFERROR(INDEX('Time Entries'!G:G,MATCH($A21,'Time Entries'!$O:$O,0)),""))</f>
        <v/>
      </c>
      <c r="C21" s="4">
        <f>IF($A21="","",SUMIFS('Time Entries'!J:J,'Time Entries'!O:O,$A21,'Time Entries'!A:A,$O$4+0))</f>
        <v/>
      </c>
      <c r="D21" s="4">
        <f>IF($A21="","",SUMIFS('Time Entries'!J:J,'Time Entries'!O:O,$A21,'Time Entries'!A:A,$O$4+1))</f>
        <v/>
      </c>
      <c r="E21" s="4">
        <f>IF($A21="","",SUMIFS('Time Entries'!J:J,'Time Entries'!O:O,$A21,'Time Entries'!A:A,$O$4+2))</f>
        <v/>
      </c>
      <c r="F21" s="4">
        <f>IF($A21="","",SUMIFS('Time Entries'!J:J,'Time Entries'!O:O,$A21,'Time Entries'!A:A,$O$4+3))</f>
        <v/>
      </c>
      <c r="G21" s="4">
        <f>IF($A21="","",SUMIFS('Time Entries'!J:J,'Time Entries'!O:O,$A21,'Time Entries'!A:A,$O$4+4))</f>
        <v/>
      </c>
      <c r="H21" s="4">
        <f>IF($A21="","",SUMIFS('Time Entries'!J:J,'Time Entries'!O:O,$A21,'Time Entries'!A:A,$O$4+5))</f>
        <v/>
      </c>
      <c r="I21" s="4">
        <f>IF($A21="","",SUMIFS('Time Entries'!J:J,'Time Entries'!O:O,$A21,'Time Entries'!A:A,$O$4+6))</f>
        <v/>
      </c>
      <c r="J21" s="4">
        <f>IF($A21="","",SUM(C21:I21))</f>
        <v/>
      </c>
    </row>
    <row r="22">
      <c r="A22">
        <f>IFERROR(INDEX('Time Entries'!$O:$O,MATCH(ROW()-4,'Time Entries'!$P:$P,0)),"")</f>
        <v/>
      </c>
      <c r="B22">
        <f>IF($A22="","",IFERROR(INDEX('Time Entries'!G:G,MATCH($A22,'Time Entries'!$O:$O,0)),""))</f>
        <v/>
      </c>
      <c r="C22" s="4">
        <f>IF($A22="","",SUMIFS('Time Entries'!J:J,'Time Entries'!O:O,$A22,'Time Entries'!A:A,$O$4+0))</f>
        <v/>
      </c>
      <c r="D22" s="4">
        <f>IF($A22="","",SUMIFS('Time Entries'!J:J,'Time Entries'!O:O,$A22,'Time Entries'!A:A,$O$4+1))</f>
        <v/>
      </c>
      <c r="E22" s="4">
        <f>IF($A22="","",SUMIFS('Time Entries'!J:J,'Time Entries'!O:O,$A22,'Time Entries'!A:A,$O$4+2))</f>
        <v/>
      </c>
      <c r="F22" s="4">
        <f>IF($A22="","",SUMIFS('Time Entries'!J:J,'Time Entries'!O:O,$A22,'Time Entries'!A:A,$O$4+3))</f>
        <v/>
      </c>
      <c r="G22" s="4">
        <f>IF($A22="","",SUMIFS('Time Entries'!J:J,'Time Entries'!O:O,$A22,'Time Entries'!A:A,$O$4+4))</f>
        <v/>
      </c>
      <c r="H22" s="4">
        <f>IF($A22="","",SUMIFS('Time Entries'!J:J,'Time Entries'!O:O,$A22,'Time Entries'!A:A,$O$4+5))</f>
        <v/>
      </c>
      <c r="I22" s="4">
        <f>IF($A22="","",SUMIFS('Time Entries'!J:J,'Time Entries'!O:O,$A22,'Time Entries'!A:A,$O$4+6))</f>
        <v/>
      </c>
      <c r="J22" s="4">
        <f>IF($A22="","",SUM(C22:I22))</f>
        <v/>
      </c>
    </row>
    <row r="23">
      <c r="A23">
        <f>IFERROR(INDEX('Time Entries'!$O:$O,MATCH(ROW()-4,'Time Entries'!$P:$P,0)),"")</f>
        <v/>
      </c>
      <c r="B23">
        <f>IF($A23="","",IFERROR(INDEX('Time Entries'!G:G,MATCH($A23,'Time Entries'!$O:$O,0)),""))</f>
        <v/>
      </c>
      <c r="C23" s="4">
        <f>IF($A23="","",SUMIFS('Time Entries'!J:J,'Time Entries'!O:O,$A23,'Time Entries'!A:A,$O$4+0))</f>
        <v/>
      </c>
      <c r="D23" s="4">
        <f>IF($A23="","",SUMIFS('Time Entries'!J:J,'Time Entries'!O:O,$A23,'Time Entries'!A:A,$O$4+1))</f>
        <v/>
      </c>
      <c r="E23" s="4">
        <f>IF($A23="","",SUMIFS('Time Entries'!J:J,'Time Entries'!O:O,$A23,'Time Entries'!A:A,$O$4+2))</f>
        <v/>
      </c>
      <c r="F23" s="4">
        <f>IF($A23="","",SUMIFS('Time Entries'!J:J,'Time Entries'!O:O,$A23,'Time Entries'!A:A,$O$4+3))</f>
        <v/>
      </c>
      <c r="G23" s="4">
        <f>IF($A23="","",SUMIFS('Time Entries'!J:J,'Time Entries'!O:O,$A23,'Time Entries'!A:A,$O$4+4))</f>
        <v/>
      </c>
      <c r="H23" s="4">
        <f>IF($A23="","",SUMIFS('Time Entries'!J:J,'Time Entries'!O:O,$A23,'Time Entries'!A:A,$O$4+5))</f>
        <v/>
      </c>
      <c r="I23" s="4">
        <f>IF($A23="","",SUMIFS('Time Entries'!J:J,'Time Entries'!O:O,$A23,'Time Entries'!A:A,$O$4+6))</f>
        <v/>
      </c>
      <c r="J23" s="4">
        <f>IF($A23="","",SUM(C23:I23))</f>
        <v/>
      </c>
    </row>
    <row r="24">
      <c r="A24">
        <f>IFERROR(INDEX('Time Entries'!$O:$O,MATCH(ROW()-4,'Time Entries'!$P:$P,0)),"")</f>
        <v/>
      </c>
      <c r="B24">
        <f>IF($A24="","",IFERROR(INDEX('Time Entries'!G:G,MATCH($A24,'Time Entries'!$O:$O,0)),""))</f>
        <v/>
      </c>
      <c r="C24" s="4">
        <f>IF($A24="","",SUMIFS('Time Entries'!J:J,'Time Entries'!O:O,$A24,'Time Entries'!A:A,$O$4+0))</f>
        <v/>
      </c>
      <c r="D24" s="4">
        <f>IF($A24="","",SUMIFS('Time Entries'!J:J,'Time Entries'!O:O,$A24,'Time Entries'!A:A,$O$4+1))</f>
        <v/>
      </c>
      <c r="E24" s="4">
        <f>IF($A24="","",SUMIFS('Time Entries'!J:J,'Time Entries'!O:O,$A24,'Time Entries'!A:A,$O$4+2))</f>
        <v/>
      </c>
      <c r="F24" s="4">
        <f>IF($A24="","",SUMIFS('Time Entries'!J:J,'Time Entries'!O:O,$A24,'Time Entries'!A:A,$O$4+3))</f>
        <v/>
      </c>
      <c r="G24" s="4">
        <f>IF($A24="","",SUMIFS('Time Entries'!J:J,'Time Entries'!O:O,$A24,'Time Entries'!A:A,$O$4+4))</f>
        <v/>
      </c>
      <c r="H24" s="4">
        <f>IF($A24="","",SUMIFS('Time Entries'!J:J,'Time Entries'!O:O,$A24,'Time Entries'!A:A,$O$4+5))</f>
        <v/>
      </c>
      <c r="I24" s="4">
        <f>IF($A24="","",SUMIFS('Time Entries'!J:J,'Time Entries'!O:O,$A24,'Time Entries'!A:A,$O$4+6))</f>
        <v/>
      </c>
      <c r="J24" s="4">
        <f>IF($A24="","",SUM(C24:I24))</f>
        <v/>
      </c>
    </row>
    <row r="25">
      <c r="A25">
        <f>IFERROR(INDEX('Time Entries'!$O:$O,MATCH(ROW()-4,'Time Entries'!$P:$P,0)),"")</f>
        <v/>
      </c>
      <c r="B25">
        <f>IF($A25="","",IFERROR(INDEX('Time Entries'!G:G,MATCH($A25,'Time Entries'!$O:$O,0)),""))</f>
        <v/>
      </c>
      <c r="C25" s="4">
        <f>IF($A25="","",SUMIFS('Time Entries'!J:J,'Time Entries'!O:O,$A25,'Time Entries'!A:A,$O$4+0))</f>
        <v/>
      </c>
      <c r="D25" s="4">
        <f>IF($A25="","",SUMIFS('Time Entries'!J:J,'Time Entries'!O:O,$A25,'Time Entries'!A:A,$O$4+1))</f>
        <v/>
      </c>
      <c r="E25" s="4">
        <f>IF($A25="","",SUMIFS('Time Entries'!J:J,'Time Entries'!O:O,$A25,'Time Entries'!A:A,$O$4+2))</f>
        <v/>
      </c>
      <c r="F25" s="4">
        <f>IF($A25="","",SUMIFS('Time Entries'!J:J,'Time Entries'!O:O,$A25,'Time Entries'!A:A,$O$4+3))</f>
        <v/>
      </c>
      <c r="G25" s="4">
        <f>IF($A25="","",SUMIFS('Time Entries'!J:J,'Time Entries'!O:O,$A25,'Time Entries'!A:A,$O$4+4))</f>
        <v/>
      </c>
      <c r="H25" s="4">
        <f>IF($A25="","",SUMIFS('Time Entries'!J:J,'Time Entries'!O:O,$A25,'Time Entries'!A:A,$O$4+5))</f>
        <v/>
      </c>
      <c r="I25" s="4">
        <f>IF($A25="","",SUMIFS('Time Entries'!J:J,'Time Entries'!O:O,$A25,'Time Entries'!A:A,$O$4+6))</f>
        <v/>
      </c>
      <c r="J25" s="4">
        <f>IF($A25="","",SUM(C25:I25))</f>
        <v/>
      </c>
    </row>
    <row r="26">
      <c r="A26">
        <f>IFERROR(INDEX('Time Entries'!$O:$O,MATCH(ROW()-4,'Time Entries'!$P:$P,0)),"")</f>
        <v/>
      </c>
      <c r="B26">
        <f>IF($A26="","",IFERROR(INDEX('Time Entries'!G:G,MATCH($A26,'Time Entries'!$O:$O,0)),""))</f>
        <v/>
      </c>
      <c r="C26" s="4">
        <f>IF($A26="","",SUMIFS('Time Entries'!J:J,'Time Entries'!O:O,$A26,'Time Entries'!A:A,$O$4+0))</f>
        <v/>
      </c>
      <c r="D26" s="4">
        <f>IF($A26="","",SUMIFS('Time Entries'!J:J,'Time Entries'!O:O,$A26,'Time Entries'!A:A,$O$4+1))</f>
        <v/>
      </c>
      <c r="E26" s="4">
        <f>IF($A26="","",SUMIFS('Time Entries'!J:J,'Time Entries'!O:O,$A26,'Time Entries'!A:A,$O$4+2))</f>
        <v/>
      </c>
      <c r="F26" s="4">
        <f>IF($A26="","",SUMIFS('Time Entries'!J:J,'Time Entries'!O:O,$A26,'Time Entries'!A:A,$O$4+3))</f>
        <v/>
      </c>
      <c r="G26" s="4">
        <f>IF($A26="","",SUMIFS('Time Entries'!J:J,'Time Entries'!O:O,$A26,'Time Entries'!A:A,$O$4+4))</f>
        <v/>
      </c>
      <c r="H26" s="4">
        <f>IF($A26="","",SUMIFS('Time Entries'!J:J,'Time Entries'!O:O,$A26,'Time Entries'!A:A,$O$4+5))</f>
        <v/>
      </c>
      <c r="I26" s="4">
        <f>IF($A26="","",SUMIFS('Time Entries'!J:J,'Time Entries'!O:O,$A26,'Time Entries'!A:A,$O$4+6))</f>
        <v/>
      </c>
      <c r="J26" s="4">
        <f>IF($A26="","",SUM(C26:I26))</f>
        <v/>
      </c>
    </row>
    <row r="27">
      <c r="A27">
        <f>IFERROR(INDEX('Time Entries'!$O:$O,MATCH(ROW()-4,'Time Entries'!$P:$P,0)),"")</f>
        <v/>
      </c>
      <c r="B27">
        <f>IF($A27="","",IFERROR(INDEX('Time Entries'!G:G,MATCH($A27,'Time Entries'!$O:$O,0)),""))</f>
        <v/>
      </c>
      <c r="C27" s="4">
        <f>IF($A27="","",SUMIFS('Time Entries'!J:J,'Time Entries'!O:O,$A27,'Time Entries'!A:A,$O$4+0))</f>
        <v/>
      </c>
      <c r="D27" s="4">
        <f>IF($A27="","",SUMIFS('Time Entries'!J:J,'Time Entries'!O:O,$A27,'Time Entries'!A:A,$O$4+1))</f>
        <v/>
      </c>
      <c r="E27" s="4">
        <f>IF($A27="","",SUMIFS('Time Entries'!J:J,'Time Entries'!O:O,$A27,'Time Entries'!A:A,$O$4+2))</f>
        <v/>
      </c>
      <c r="F27" s="4">
        <f>IF($A27="","",SUMIFS('Time Entries'!J:J,'Time Entries'!O:O,$A27,'Time Entries'!A:A,$O$4+3))</f>
        <v/>
      </c>
      <c r="G27" s="4">
        <f>IF($A27="","",SUMIFS('Time Entries'!J:J,'Time Entries'!O:O,$A27,'Time Entries'!A:A,$O$4+4))</f>
        <v/>
      </c>
      <c r="H27" s="4">
        <f>IF($A27="","",SUMIFS('Time Entries'!J:J,'Time Entries'!O:O,$A27,'Time Entries'!A:A,$O$4+5))</f>
        <v/>
      </c>
      <c r="I27" s="4">
        <f>IF($A27="","",SUMIFS('Time Entries'!J:J,'Time Entries'!O:O,$A27,'Time Entries'!A:A,$O$4+6))</f>
        <v/>
      </c>
      <c r="J27" s="4">
        <f>IF($A27="","",SUM(C27:I27))</f>
        <v/>
      </c>
    </row>
    <row r="28">
      <c r="A28">
        <f>IFERROR(INDEX('Time Entries'!$O:$O,MATCH(ROW()-4,'Time Entries'!$P:$P,0)),"")</f>
        <v/>
      </c>
      <c r="B28">
        <f>IF($A28="","",IFERROR(INDEX('Time Entries'!G:G,MATCH($A28,'Time Entries'!$O:$O,0)),""))</f>
        <v/>
      </c>
      <c r="C28" s="4">
        <f>IF($A28="","",SUMIFS('Time Entries'!J:J,'Time Entries'!O:O,$A28,'Time Entries'!A:A,$O$4+0))</f>
        <v/>
      </c>
      <c r="D28" s="4">
        <f>IF($A28="","",SUMIFS('Time Entries'!J:J,'Time Entries'!O:O,$A28,'Time Entries'!A:A,$O$4+1))</f>
        <v/>
      </c>
      <c r="E28" s="4">
        <f>IF($A28="","",SUMIFS('Time Entries'!J:J,'Time Entries'!O:O,$A28,'Time Entries'!A:A,$O$4+2))</f>
        <v/>
      </c>
      <c r="F28" s="4">
        <f>IF($A28="","",SUMIFS('Time Entries'!J:J,'Time Entries'!O:O,$A28,'Time Entries'!A:A,$O$4+3))</f>
        <v/>
      </c>
      <c r="G28" s="4">
        <f>IF($A28="","",SUMIFS('Time Entries'!J:J,'Time Entries'!O:O,$A28,'Time Entries'!A:A,$O$4+4))</f>
        <v/>
      </c>
      <c r="H28" s="4">
        <f>IF($A28="","",SUMIFS('Time Entries'!J:J,'Time Entries'!O:O,$A28,'Time Entries'!A:A,$O$4+5))</f>
        <v/>
      </c>
      <c r="I28" s="4">
        <f>IF($A28="","",SUMIFS('Time Entries'!J:J,'Time Entries'!O:O,$A28,'Time Entries'!A:A,$O$4+6))</f>
        <v/>
      </c>
      <c r="J28" s="4">
        <f>IF($A28="","",SUM(C28:I28))</f>
        <v/>
      </c>
    </row>
    <row r="29">
      <c r="A29">
        <f>IFERROR(INDEX('Time Entries'!$O:$O,MATCH(ROW()-4,'Time Entries'!$P:$P,0)),"")</f>
        <v/>
      </c>
      <c r="B29">
        <f>IF($A29="","",IFERROR(INDEX('Time Entries'!G:G,MATCH($A29,'Time Entries'!$O:$O,0)),""))</f>
        <v/>
      </c>
      <c r="C29" s="4">
        <f>IF($A29="","",SUMIFS('Time Entries'!J:J,'Time Entries'!O:O,$A29,'Time Entries'!A:A,$O$4+0))</f>
        <v/>
      </c>
      <c r="D29" s="4">
        <f>IF($A29="","",SUMIFS('Time Entries'!J:J,'Time Entries'!O:O,$A29,'Time Entries'!A:A,$O$4+1))</f>
        <v/>
      </c>
      <c r="E29" s="4">
        <f>IF($A29="","",SUMIFS('Time Entries'!J:J,'Time Entries'!O:O,$A29,'Time Entries'!A:A,$O$4+2))</f>
        <v/>
      </c>
      <c r="F29" s="4">
        <f>IF($A29="","",SUMIFS('Time Entries'!J:J,'Time Entries'!O:O,$A29,'Time Entries'!A:A,$O$4+3))</f>
        <v/>
      </c>
      <c r="G29" s="4">
        <f>IF($A29="","",SUMIFS('Time Entries'!J:J,'Time Entries'!O:O,$A29,'Time Entries'!A:A,$O$4+4))</f>
        <v/>
      </c>
      <c r="H29" s="4">
        <f>IF($A29="","",SUMIFS('Time Entries'!J:J,'Time Entries'!O:O,$A29,'Time Entries'!A:A,$O$4+5))</f>
        <v/>
      </c>
      <c r="I29" s="4">
        <f>IF($A29="","",SUMIFS('Time Entries'!J:J,'Time Entries'!O:O,$A29,'Time Entries'!A:A,$O$4+6))</f>
        <v/>
      </c>
      <c r="J29" s="4">
        <f>IF($A29="","",SUM(C29:I29))</f>
        <v/>
      </c>
    </row>
    <row r="30">
      <c r="A30">
        <f>IFERROR(INDEX('Time Entries'!$O:$O,MATCH(ROW()-4,'Time Entries'!$P:$P,0)),"")</f>
        <v/>
      </c>
      <c r="B30">
        <f>IF($A30="","",IFERROR(INDEX('Time Entries'!G:G,MATCH($A30,'Time Entries'!$O:$O,0)),""))</f>
        <v/>
      </c>
      <c r="C30" s="4">
        <f>IF($A30="","",SUMIFS('Time Entries'!J:J,'Time Entries'!O:O,$A30,'Time Entries'!A:A,$O$4+0))</f>
        <v/>
      </c>
      <c r="D30" s="4">
        <f>IF($A30="","",SUMIFS('Time Entries'!J:J,'Time Entries'!O:O,$A30,'Time Entries'!A:A,$O$4+1))</f>
        <v/>
      </c>
      <c r="E30" s="4">
        <f>IF($A30="","",SUMIFS('Time Entries'!J:J,'Time Entries'!O:O,$A30,'Time Entries'!A:A,$O$4+2))</f>
        <v/>
      </c>
      <c r="F30" s="4">
        <f>IF($A30="","",SUMIFS('Time Entries'!J:J,'Time Entries'!O:O,$A30,'Time Entries'!A:A,$O$4+3))</f>
        <v/>
      </c>
      <c r="G30" s="4">
        <f>IF($A30="","",SUMIFS('Time Entries'!J:J,'Time Entries'!O:O,$A30,'Time Entries'!A:A,$O$4+4))</f>
        <v/>
      </c>
      <c r="H30" s="4">
        <f>IF($A30="","",SUMIFS('Time Entries'!J:J,'Time Entries'!O:O,$A30,'Time Entries'!A:A,$O$4+5))</f>
        <v/>
      </c>
      <c r="I30" s="4">
        <f>IF($A30="","",SUMIFS('Time Entries'!J:J,'Time Entries'!O:O,$A30,'Time Entries'!A:A,$O$4+6))</f>
        <v/>
      </c>
      <c r="J30" s="4">
        <f>IF($A30="","",SUM(C30:I30))</f>
        <v/>
      </c>
    </row>
    <row r="31">
      <c r="A31">
        <f>IFERROR(INDEX('Time Entries'!$O:$O,MATCH(ROW()-4,'Time Entries'!$P:$P,0)),"")</f>
        <v/>
      </c>
      <c r="B31">
        <f>IF($A31="","",IFERROR(INDEX('Time Entries'!G:G,MATCH($A31,'Time Entries'!$O:$O,0)),""))</f>
        <v/>
      </c>
      <c r="C31" s="4">
        <f>IF($A31="","",SUMIFS('Time Entries'!J:J,'Time Entries'!O:O,$A31,'Time Entries'!A:A,$O$4+0))</f>
        <v/>
      </c>
      <c r="D31" s="4">
        <f>IF($A31="","",SUMIFS('Time Entries'!J:J,'Time Entries'!O:O,$A31,'Time Entries'!A:A,$O$4+1))</f>
        <v/>
      </c>
      <c r="E31" s="4">
        <f>IF($A31="","",SUMIFS('Time Entries'!J:J,'Time Entries'!O:O,$A31,'Time Entries'!A:A,$O$4+2))</f>
        <v/>
      </c>
      <c r="F31" s="4">
        <f>IF($A31="","",SUMIFS('Time Entries'!J:J,'Time Entries'!O:O,$A31,'Time Entries'!A:A,$O$4+3))</f>
        <v/>
      </c>
      <c r="G31" s="4">
        <f>IF($A31="","",SUMIFS('Time Entries'!J:J,'Time Entries'!O:O,$A31,'Time Entries'!A:A,$O$4+4))</f>
        <v/>
      </c>
      <c r="H31" s="4">
        <f>IF($A31="","",SUMIFS('Time Entries'!J:J,'Time Entries'!O:O,$A31,'Time Entries'!A:A,$O$4+5))</f>
        <v/>
      </c>
      <c r="I31" s="4">
        <f>IF($A31="","",SUMIFS('Time Entries'!J:J,'Time Entries'!O:O,$A31,'Time Entries'!A:A,$O$4+6))</f>
        <v/>
      </c>
      <c r="J31" s="4">
        <f>IF($A31="","",SUM(C31:I31))</f>
        <v/>
      </c>
    </row>
    <row r="32">
      <c r="A32">
        <f>IFERROR(INDEX('Time Entries'!$O:$O,MATCH(ROW()-4,'Time Entries'!$P:$P,0)),"")</f>
        <v/>
      </c>
      <c r="B32">
        <f>IF($A32="","",IFERROR(INDEX('Time Entries'!G:G,MATCH($A32,'Time Entries'!$O:$O,0)),""))</f>
        <v/>
      </c>
      <c r="C32" s="4">
        <f>IF($A32="","",SUMIFS('Time Entries'!J:J,'Time Entries'!O:O,$A32,'Time Entries'!A:A,$O$4+0))</f>
        <v/>
      </c>
      <c r="D32" s="4">
        <f>IF($A32="","",SUMIFS('Time Entries'!J:J,'Time Entries'!O:O,$A32,'Time Entries'!A:A,$O$4+1))</f>
        <v/>
      </c>
      <c r="E32" s="4">
        <f>IF($A32="","",SUMIFS('Time Entries'!J:J,'Time Entries'!O:O,$A32,'Time Entries'!A:A,$O$4+2))</f>
        <v/>
      </c>
      <c r="F32" s="4">
        <f>IF($A32="","",SUMIFS('Time Entries'!J:J,'Time Entries'!O:O,$A32,'Time Entries'!A:A,$O$4+3))</f>
        <v/>
      </c>
      <c r="G32" s="4">
        <f>IF($A32="","",SUMIFS('Time Entries'!J:J,'Time Entries'!O:O,$A32,'Time Entries'!A:A,$O$4+4))</f>
        <v/>
      </c>
      <c r="H32" s="4">
        <f>IF($A32="","",SUMIFS('Time Entries'!J:J,'Time Entries'!O:O,$A32,'Time Entries'!A:A,$O$4+5))</f>
        <v/>
      </c>
      <c r="I32" s="4">
        <f>IF($A32="","",SUMIFS('Time Entries'!J:J,'Time Entries'!O:O,$A32,'Time Entries'!A:A,$O$4+6))</f>
        <v/>
      </c>
      <c r="J32" s="4">
        <f>IF($A32="","",SUM(C32:I32))</f>
        <v/>
      </c>
    </row>
    <row r="33">
      <c r="A33">
        <f>IFERROR(INDEX('Time Entries'!$O:$O,MATCH(ROW()-4,'Time Entries'!$P:$P,0)),"")</f>
        <v/>
      </c>
      <c r="B33">
        <f>IF($A33="","",IFERROR(INDEX('Time Entries'!G:G,MATCH($A33,'Time Entries'!$O:$O,0)),""))</f>
        <v/>
      </c>
      <c r="C33" s="4">
        <f>IF($A33="","",SUMIFS('Time Entries'!J:J,'Time Entries'!O:O,$A33,'Time Entries'!A:A,$O$4+0))</f>
        <v/>
      </c>
      <c r="D33" s="4">
        <f>IF($A33="","",SUMIFS('Time Entries'!J:J,'Time Entries'!O:O,$A33,'Time Entries'!A:A,$O$4+1))</f>
        <v/>
      </c>
      <c r="E33" s="4">
        <f>IF($A33="","",SUMIFS('Time Entries'!J:J,'Time Entries'!O:O,$A33,'Time Entries'!A:A,$O$4+2))</f>
        <v/>
      </c>
      <c r="F33" s="4">
        <f>IF($A33="","",SUMIFS('Time Entries'!J:J,'Time Entries'!O:O,$A33,'Time Entries'!A:A,$O$4+3))</f>
        <v/>
      </c>
      <c r="G33" s="4">
        <f>IF($A33="","",SUMIFS('Time Entries'!J:J,'Time Entries'!O:O,$A33,'Time Entries'!A:A,$O$4+4))</f>
        <v/>
      </c>
      <c r="H33" s="4">
        <f>IF($A33="","",SUMIFS('Time Entries'!J:J,'Time Entries'!O:O,$A33,'Time Entries'!A:A,$O$4+5))</f>
        <v/>
      </c>
      <c r="I33" s="4">
        <f>IF($A33="","",SUMIFS('Time Entries'!J:J,'Time Entries'!O:O,$A33,'Time Entries'!A:A,$O$4+6))</f>
        <v/>
      </c>
      <c r="J33" s="4">
        <f>IF($A33="","",SUM(C33:I33))</f>
        <v/>
      </c>
    </row>
    <row r="34">
      <c r="A34">
        <f>IFERROR(INDEX('Time Entries'!$O:$O,MATCH(ROW()-4,'Time Entries'!$P:$P,0)),"")</f>
        <v/>
      </c>
      <c r="B34">
        <f>IF($A34="","",IFERROR(INDEX('Time Entries'!G:G,MATCH($A34,'Time Entries'!$O:$O,0)),""))</f>
        <v/>
      </c>
      <c r="C34" s="4">
        <f>IF($A34="","",SUMIFS('Time Entries'!J:J,'Time Entries'!O:O,$A34,'Time Entries'!A:A,$O$4+0))</f>
        <v/>
      </c>
      <c r="D34" s="4">
        <f>IF($A34="","",SUMIFS('Time Entries'!J:J,'Time Entries'!O:O,$A34,'Time Entries'!A:A,$O$4+1))</f>
        <v/>
      </c>
      <c r="E34" s="4">
        <f>IF($A34="","",SUMIFS('Time Entries'!J:J,'Time Entries'!O:O,$A34,'Time Entries'!A:A,$O$4+2))</f>
        <v/>
      </c>
      <c r="F34" s="4">
        <f>IF($A34="","",SUMIFS('Time Entries'!J:J,'Time Entries'!O:O,$A34,'Time Entries'!A:A,$O$4+3))</f>
        <v/>
      </c>
      <c r="G34" s="4">
        <f>IF($A34="","",SUMIFS('Time Entries'!J:J,'Time Entries'!O:O,$A34,'Time Entries'!A:A,$O$4+4))</f>
        <v/>
      </c>
      <c r="H34" s="4">
        <f>IF($A34="","",SUMIFS('Time Entries'!J:J,'Time Entries'!O:O,$A34,'Time Entries'!A:A,$O$4+5))</f>
        <v/>
      </c>
      <c r="I34" s="4">
        <f>IF($A34="","",SUMIFS('Time Entries'!J:J,'Time Entries'!O:O,$A34,'Time Entries'!A:A,$O$4+6))</f>
        <v/>
      </c>
      <c r="J34" s="4">
        <f>IF($A34="","",SUM(C34:I34))</f>
        <v/>
      </c>
    </row>
    <row r="35">
      <c r="A35">
        <f>IFERROR(INDEX('Time Entries'!$O:$O,MATCH(ROW()-4,'Time Entries'!$P:$P,0)),"")</f>
        <v/>
      </c>
      <c r="B35">
        <f>IF($A35="","",IFERROR(INDEX('Time Entries'!G:G,MATCH($A35,'Time Entries'!$O:$O,0)),""))</f>
        <v/>
      </c>
      <c r="C35" s="4">
        <f>IF($A35="","",SUMIFS('Time Entries'!J:J,'Time Entries'!O:O,$A35,'Time Entries'!A:A,$O$4+0))</f>
        <v/>
      </c>
      <c r="D35" s="4">
        <f>IF($A35="","",SUMIFS('Time Entries'!J:J,'Time Entries'!O:O,$A35,'Time Entries'!A:A,$O$4+1))</f>
        <v/>
      </c>
      <c r="E35" s="4">
        <f>IF($A35="","",SUMIFS('Time Entries'!J:J,'Time Entries'!O:O,$A35,'Time Entries'!A:A,$O$4+2))</f>
        <v/>
      </c>
      <c r="F35" s="4">
        <f>IF($A35="","",SUMIFS('Time Entries'!J:J,'Time Entries'!O:O,$A35,'Time Entries'!A:A,$O$4+3))</f>
        <v/>
      </c>
      <c r="G35" s="4">
        <f>IF($A35="","",SUMIFS('Time Entries'!J:J,'Time Entries'!O:O,$A35,'Time Entries'!A:A,$O$4+4))</f>
        <v/>
      </c>
      <c r="H35" s="4">
        <f>IF($A35="","",SUMIFS('Time Entries'!J:J,'Time Entries'!O:O,$A35,'Time Entries'!A:A,$O$4+5))</f>
        <v/>
      </c>
      <c r="I35" s="4">
        <f>IF($A35="","",SUMIFS('Time Entries'!J:J,'Time Entries'!O:O,$A35,'Time Entries'!A:A,$O$4+6))</f>
        <v/>
      </c>
      <c r="J35" s="4">
        <f>IF($A35="","",SUM(C35:I35))</f>
        <v/>
      </c>
    </row>
    <row r="36">
      <c r="A36">
        <f>IFERROR(INDEX('Time Entries'!$O:$O,MATCH(ROW()-4,'Time Entries'!$P:$P,0)),"")</f>
        <v/>
      </c>
      <c r="B36">
        <f>IF($A36="","",IFERROR(INDEX('Time Entries'!G:G,MATCH($A36,'Time Entries'!$O:$O,0)),""))</f>
        <v/>
      </c>
      <c r="C36" s="4">
        <f>IF($A36="","",SUMIFS('Time Entries'!J:J,'Time Entries'!O:O,$A36,'Time Entries'!A:A,$O$4+0))</f>
        <v/>
      </c>
      <c r="D36" s="4">
        <f>IF($A36="","",SUMIFS('Time Entries'!J:J,'Time Entries'!O:O,$A36,'Time Entries'!A:A,$O$4+1))</f>
        <v/>
      </c>
      <c r="E36" s="4">
        <f>IF($A36="","",SUMIFS('Time Entries'!J:J,'Time Entries'!O:O,$A36,'Time Entries'!A:A,$O$4+2))</f>
        <v/>
      </c>
      <c r="F36" s="4">
        <f>IF($A36="","",SUMIFS('Time Entries'!J:J,'Time Entries'!O:O,$A36,'Time Entries'!A:A,$O$4+3))</f>
        <v/>
      </c>
      <c r="G36" s="4">
        <f>IF($A36="","",SUMIFS('Time Entries'!J:J,'Time Entries'!O:O,$A36,'Time Entries'!A:A,$O$4+4))</f>
        <v/>
      </c>
      <c r="H36" s="4">
        <f>IF($A36="","",SUMIFS('Time Entries'!J:J,'Time Entries'!O:O,$A36,'Time Entries'!A:A,$O$4+5))</f>
        <v/>
      </c>
      <c r="I36" s="4">
        <f>IF($A36="","",SUMIFS('Time Entries'!J:J,'Time Entries'!O:O,$A36,'Time Entries'!A:A,$O$4+6))</f>
        <v/>
      </c>
      <c r="J36" s="4">
        <f>IF($A36="","",SUM(C36:I36))</f>
        <v/>
      </c>
    </row>
    <row r="37">
      <c r="A37">
        <f>IFERROR(INDEX('Time Entries'!$O:$O,MATCH(ROW()-4,'Time Entries'!$P:$P,0)),"")</f>
        <v/>
      </c>
      <c r="B37">
        <f>IF($A37="","",IFERROR(INDEX('Time Entries'!G:G,MATCH($A37,'Time Entries'!$O:$O,0)),""))</f>
        <v/>
      </c>
      <c r="C37" s="4">
        <f>IF($A37="","",SUMIFS('Time Entries'!J:J,'Time Entries'!O:O,$A37,'Time Entries'!A:A,$O$4+0))</f>
        <v/>
      </c>
      <c r="D37" s="4">
        <f>IF($A37="","",SUMIFS('Time Entries'!J:J,'Time Entries'!O:O,$A37,'Time Entries'!A:A,$O$4+1))</f>
        <v/>
      </c>
      <c r="E37" s="4">
        <f>IF($A37="","",SUMIFS('Time Entries'!J:J,'Time Entries'!O:O,$A37,'Time Entries'!A:A,$O$4+2))</f>
        <v/>
      </c>
      <c r="F37" s="4">
        <f>IF($A37="","",SUMIFS('Time Entries'!J:J,'Time Entries'!O:O,$A37,'Time Entries'!A:A,$O$4+3))</f>
        <v/>
      </c>
      <c r="G37" s="4">
        <f>IF($A37="","",SUMIFS('Time Entries'!J:J,'Time Entries'!O:O,$A37,'Time Entries'!A:A,$O$4+4))</f>
        <v/>
      </c>
      <c r="H37" s="4">
        <f>IF($A37="","",SUMIFS('Time Entries'!J:J,'Time Entries'!O:O,$A37,'Time Entries'!A:A,$O$4+5))</f>
        <v/>
      </c>
      <c r="I37" s="4">
        <f>IF($A37="","",SUMIFS('Time Entries'!J:J,'Time Entries'!O:O,$A37,'Time Entries'!A:A,$O$4+6))</f>
        <v/>
      </c>
      <c r="J37" s="4">
        <f>IF($A37="","",SUM(C37:I37))</f>
        <v/>
      </c>
    </row>
    <row r="38">
      <c r="A38">
        <f>IFERROR(INDEX('Time Entries'!$O:$O,MATCH(ROW()-4,'Time Entries'!$P:$P,0)),"")</f>
        <v/>
      </c>
      <c r="B38">
        <f>IF($A38="","",IFERROR(INDEX('Time Entries'!G:G,MATCH($A38,'Time Entries'!$O:$O,0)),""))</f>
        <v/>
      </c>
      <c r="C38" s="4">
        <f>IF($A38="","",SUMIFS('Time Entries'!J:J,'Time Entries'!O:O,$A38,'Time Entries'!A:A,$O$4+0))</f>
        <v/>
      </c>
      <c r="D38" s="4">
        <f>IF($A38="","",SUMIFS('Time Entries'!J:J,'Time Entries'!O:O,$A38,'Time Entries'!A:A,$O$4+1))</f>
        <v/>
      </c>
      <c r="E38" s="4">
        <f>IF($A38="","",SUMIFS('Time Entries'!J:J,'Time Entries'!O:O,$A38,'Time Entries'!A:A,$O$4+2))</f>
        <v/>
      </c>
      <c r="F38" s="4">
        <f>IF($A38="","",SUMIFS('Time Entries'!J:J,'Time Entries'!O:O,$A38,'Time Entries'!A:A,$O$4+3))</f>
        <v/>
      </c>
      <c r="G38" s="4">
        <f>IF($A38="","",SUMIFS('Time Entries'!J:J,'Time Entries'!O:O,$A38,'Time Entries'!A:A,$O$4+4))</f>
        <v/>
      </c>
      <c r="H38" s="4">
        <f>IF($A38="","",SUMIFS('Time Entries'!J:J,'Time Entries'!O:O,$A38,'Time Entries'!A:A,$O$4+5))</f>
        <v/>
      </c>
      <c r="I38" s="4">
        <f>IF($A38="","",SUMIFS('Time Entries'!J:J,'Time Entries'!O:O,$A38,'Time Entries'!A:A,$O$4+6))</f>
        <v/>
      </c>
      <c r="J38" s="4">
        <f>IF($A38="","",SUM(C38:I38))</f>
        <v/>
      </c>
    </row>
    <row r="39">
      <c r="A39">
        <f>IFERROR(INDEX('Time Entries'!$O:$O,MATCH(ROW()-4,'Time Entries'!$P:$P,0)),"")</f>
        <v/>
      </c>
      <c r="B39">
        <f>IF($A39="","",IFERROR(INDEX('Time Entries'!G:G,MATCH($A39,'Time Entries'!$O:$O,0)),""))</f>
        <v/>
      </c>
      <c r="C39" s="4">
        <f>IF($A39="","",SUMIFS('Time Entries'!J:J,'Time Entries'!O:O,$A39,'Time Entries'!A:A,$O$4+0))</f>
        <v/>
      </c>
      <c r="D39" s="4">
        <f>IF($A39="","",SUMIFS('Time Entries'!J:J,'Time Entries'!O:O,$A39,'Time Entries'!A:A,$O$4+1))</f>
        <v/>
      </c>
      <c r="E39" s="4">
        <f>IF($A39="","",SUMIFS('Time Entries'!J:J,'Time Entries'!O:O,$A39,'Time Entries'!A:A,$O$4+2))</f>
        <v/>
      </c>
      <c r="F39" s="4">
        <f>IF($A39="","",SUMIFS('Time Entries'!J:J,'Time Entries'!O:O,$A39,'Time Entries'!A:A,$O$4+3))</f>
        <v/>
      </c>
      <c r="G39" s="4">
        <f>IF($A39="","",SUMIFS('Time Entries'!J:J,'Time Entries'!O:O,$A39,'Time Entries'!A:A,$O$4+4))</f>
        <v/>
      </c>
      <c r="H39" s="4">
        <f>IF($A39="","",SUMIFS('Time Entries'!J:J,'Time Entries'!O:O,$A39,'Time Entries'!A:A,$O$4+5))</f>
        <v/>
      </c>
      <c r="I39" s="4">
        <f>IF($A39="","",SUMIFS('Time Entries'!J:J,'Time Entries'!O:O,$A39,'Time Entries'!A:A,$O$4+6))</f>
        <v/>
      </c>
      <c r="J39" s="4">
        <f>IF($A39="","",SUM(C39:I39))</f>
        <v/>
      </c>
    </row>
    <row r="40">
      <c r="A40">
        <f>IFERROR(INDEX('Time Entries'!$O:$O,MATCH(ROW()-4,'Time Entries'!$P:$P,0)),"")</f>
        <v/>
      </c>
      <c r="B40">
        <f>IF($A40="","",IFERROR(INDEX('Time Entries'!G:G,MATCH($A40,'Time Entries'!$O:$O,0)),""))</f>
        <v/>
      </c>
      <c r="C40" s="4">
        <f>IF($A40="","",SUMIFS('Time Entries'!J:J,'Time Entries'!O:O,$A40,'Time Entries'!A:A,$O$4+0))</f>
        <v/>
      </c>
      <c r="D40" s="4">
        <f>IF($A40="","",SUMIFS('Time Entries'!J:J,'Time Entries'!O:O,$A40,'Time Entries'!A:A,$O$4+1))</f>
        <v/>
      </c>
      <c r="E40" s="4">
        <f>IF($A40="","",SUMIFS('Time Entries'!J:J,'Time Entries'!O:O,$A40,'Time Entries'!A:A,$O$4+2))</f>
        <v/>
      </c>
      <c r="F40" s="4">
        <f>IF($A40="","",SUMIFS('Time Entries'!J:J,'Time Entries'!O:O,$A40,'Time Entries'!A:A,$O$4+3))</f>
        <v/>
      </c>
      <c r="G40" s="4">
        <f>IF($A40="","",SUMIFS('Time Entries'!J:J,'Time Entries'!O:O,$A40,'Time Entries'!A:A,$O$4+4))</f>
        <v/>
      </c>
      <c r="H40" s="4">
        <f>IF($A40="","",SUMIFS('Time Entries'!J:J,'Time Entries'!O:O,$A40,'Time Entries'!A:A,$O$4+5))</f>
        <v/>
      </c>
      <c r="I40" s="4">
        <f>IF($A40="","",SUMIFS('Time Entries'!J:J,'Time Entries'!O:O,$A40,'Time Entries'!A:A,$O$4+6))</f>
        <v/>
      </c>
      <c r="J40" s="4">
        <f>IF($A40="","",SUM(C40:I40))</f>
        <v/>
      </c>
    </row>
    <row r="41">
      <c r="A41">
        <f>IFERROR(INDEX('Time Entries'!$O:$O,MATCH(ROW()-4,'Time Entries'!$P:$P,0)),"")</f>
        <v/>
      </c>
      <c r="B41">
        <f>IF($A41="","",IFERROR(INDEX('Time Entries'!G:G,MATCH($A41,'Time Entries'!$O:$O,0)),""))</f>
        <v/>
      </c>
      <c r="C41" s="4">
        <f>IF($A41="","",SUMIFS('Time Entries'!J:J,'Time Entries'!O:O,$A41,'Time Entries'!A:A,$O$4+0))</f>
        <v/>
      </c>
      <c r="D41" s="4">
        <f>IF($A41="","",SUMIFS('Time Entries'!J:J,'Time Entries'!O:O,$A41,'Time Entries'!A:A,$O$4+1))</f>
        <v/>
      </c>
      <c r="E41" s="4">
        <f>IF($A41="","",SUMIFS('Time Entries'!J:J,'Time Entries'!O:O,$A41,'Time Entries'!A:A,$O$4+2))</f>
        <v/>
      </c>
      <c r="F41" s="4">
        <f>IF($A41="","",SUMIFS('Time Entries'!J:J,'Time Entries'!O:O,$A41,'Time Entries'!A:A,$O$4+3))</f>
        <v/>
      </c>
      <c r="G41" s="4">
        <f>IF($A41="","",SUMIFS('Time Entries'!J:J,'Time Entries'!O:O,$A41,'Time Entries'!A:A,$O$4+4))</f>
        <v/>
      </c>
      <c r="H41" s="4">
        <f>IF($A41="","",SUMIFS('Time Entries'!J:J,'Time Entries'!O:O,$A41,'Time Entries'!A:A,$O$4+5))</f>
        <v/>
      </c>
      <c r="I41" s="4">
        <f>IF($A41="","",SUMIFS('Time Entries'!J:J,'Time Entries'!O:O,$A41,'Time Entries'!A:A,$O$4+6))</f>
        <v/>
      </c>
      <c r="J41" s="4">
        <f>IF($A41="","",SUM(C41:I41))</f>
        <v/>
      </c>
    </row>
    <row r="42">
      <c r="A42">
        <f>IFERROR(INDEX('Time Entries'!$O:$O,MATCH(ROW()-4,'Time Entries'!$P:$P,0)),"")</f>
        <v/>
      </c>
      <c r="B42">
        <f>IF($A42="","",IFERROR(INDEX('Time Entries'!G:G,MATCH($A42,'Time Entries'!$O:$O,0)),""))</f>
        <v/>
      </c>
      <c r="C42" s="4">
        <f>IF($A42="","",SUMIFS('Time Entries'!J:J,'Time Entries'!O:O,$A42,'Time Entries'!A:A,$O$4+0))</f>
        <v/>
      </c>
      <c r="D42" s="4">
        <f>IF($A42="","",SUMIFS('Time Entries'!J:J,'Time Entries'!O:O,$A42,'Time Entries'!A:A,$O$4+1))</f>
        <v/>
      </c>
      <c r="E42" s="4">
        <f>IF($A42="","",SUMIFS('Time Entries'!J:J,'Time Entries'!O:O,$A42,'Time Entries'!A:A,$O$4+2))</f>
        <v/>
      </c>
      <c r="F42" s="4">
        <f>IF($A42="","",SUMIFS('Time Entries'!J:J,'Time Entries'!O:O,$A42,'Time Entries'!A:A,$O$4+3))</f>
        <v/>
      </c>
      <c r="G42" s="4">
        <f>IF($A42="","",SUMIFS('Time Entries'!J:J,'Time Entries'!O:O,$A42,'Time Entries'!A:A,$O$4+4))</f>
        <v/>
      </c>
      <c r="H42" s="4">
        <f>IF($A42="","",SUMIFS('Time Entries'!J:J,'Time Entries'!O:O,$A42,'Time Entries'!A:A,$O$4+5))</f>
        <v/>
      </c>
      <c r="I42" s="4">
        <f>IF($A42="","",SUMIFS('Time Entries'!J:J,'Time Entries'!O:O,$A42,'Time Entries'!A:A,$O$4+6))</f>
        <v/>
      </c>
      <c r="J42" s="4">
        <f>IF($A42="","",SUM(C42:I42))</f>
        <v/>
      </c>
    </row>
    <row r="43">
      <c r="A43">
        <f>IFERROR(INDEX('Time Entries'!$O:$O,MATCH(ROW()-4,'Time Entries'!$P:$P,0)),"")</f>
        <v/>
      </c>
      <c r="B43">
        <f>IF($A43="","",IFERROR(INDEX('Time Entries'!G:G,MATCH($A43,'Time Entries'!$O:$O,0)),""))</f>
        <v/>
      </c>
      <c r="C43" s="4">
        <f>IF($A43="","",SUMIFS('Time Entries'!J:J,'Time Entries'!O:O,$A43,'Time Entries'!A:A,$O$4+0))</f>
        <v/>
      </c>
      <c r="D43" s="4">
        <f>IF($A43="","",SUMIFS('Time Entries'!J:J,'Time Entries'!O:O,$A43,'Time Entries'!A:A,$O$4+1))</f>
        <v/>
      </c>
      <c r="E43" s="4">
        <f>IF($A43="","",SUMIFS('Time Entries'!J:J,'Time Entries'!O:O,$A43,'Time Entries'!A:A,$O$4+2))</f>
        <v/>
      </c>
      <c r="F43" s="4">
        <f>IF($A43="","",SUMIFS('Time Entries'!J:J,'Time Entries'!O:O,$A43,'Time Entries'!A:A,$O$4+3))</f>
        <v/>
      </c>
      <c r="G43" s="4">
        <f>IF($A43="","",SUMIFS('Time Entries'!J:J,'Time Entries'!O:O,$A43,'Time Entries'!A:A,$O$4+4))</f>
        <v/>
      </c>
      <c r="H43" s="4">
        <f>IF($A43="","",SUMIFS('Time Entries'!J:J,'Time Entries'!O:O,$A43,'Time Entries'!A:A,$O$4+5))</f>
        <v/>
      </c>
      <c r="I43" s="4">
        <f>IF($A43="","",SUMIFS('Time Entries'!J:J,'Time Entries'!O:O,$A43,'Time Entries'!A:A,$O$4+6))</f>
        <v/>
      </c>
      <c r="J43" s="4">
        <f>IF($A43="","",SUM(C43:I43))</f>
        <v/>
      </c>
    </row>
    <row r="44">
      <c r="A44">
        <f>IFERROR(INDEX('Time Entries'!$O:$O,MATCH(ROW()-4,'Time Entries'!$P:$P,0)),"")</f>
        <v/>
      </c>
      <c r="B44">
        <f>IF($A44="","",IFERROR(INDEX('Time Entries'!G:G,MATCH($A44,'Time Entries'!$O:$O,0)),""))</f>
        <v/>
      </c>
      <c r="C44" s="4">
        <f>IF($A44="","",SUMIFS('Time Entries'!J:J,'Time Entries'!O:O,$A44,'Time Entries'!A:A,$O$4+0))</f>
        <v/>
      </c>
      <c r="D44" s="4">
        <f>IF($A44="","",SUMIFS('Time Entries'!J:J,'Time Entries'!O:O,$A44,'Time Entries'!A:A,$O$4+1))</f>
        <v/>
      </c>
      <c r="E44" s="4">
        <f>IF($A44="","",SUMIFS('Time Entries'!J:J,'Time Entries'!O:O,$A44,'Time Entries'!A:A,$O$4+2))</f>
        <v/>
      </c>
      <c r="F44" s="4">
        <f>IF($A44="","",SUMIFS('Time Entries'!J:J,'Time Entries'!O:O,$A44,'Time Entries'!A:A,$O$4+3))</f>
        <v/>
      </c>
      <c r="G44" s="4">
        <f>IF($A44="","",SUMIFS('Time Entries'!J:J,'Time Entries'!O:O,$A44,'Time Entries'!A:A,$O$4+4))</f>
        <v/>
      </c>
      <c r="H44" s="4">
        <f>IF($A44="","",SUMIFS('Time Entries'!J:J,'Time Entries'!O:O,$A44,'Time Entries'!A:A,$O$4+5))</f>
        <v/>
      </c>
      <c r="I44" s="4">
        <f>IF($A44="","",SUMIFS('Time Entries'!J:J,'Time Entries'!O:O,$A44,'Time Entries'!A:A,$O$4+6))</f>
        <v/>
      </c>
      <c r="J44" s="4">
        <f>IF($A44="","",SUM(C44:I44))</f>
        <v/>
      </c>
    </row>
    <row r="45">
      <c r="A45">
        <f>IFERROR(INDEX('Time Entries'!$O:$O,MATCH(ROW()-4,'Time Entries'!$P:$P,0)),"")</f>
        <v/>
      </c>
      <c r="B45">
        <f>IF($A45="","",IFERROR(INDEX('Time Entries'!G:G,MATCH($A45,'Time Entries'!$O:$O,0)),""))</f>
        <v/>
      </c>
      <c r="C45" s="4">
        <f>IF($A45="","",SUMIFS('Time Entries'!J:J,'Time Entries'!O:O,$A45,'Time Entries'!A:A,$O$4+0))</f>
        <v/>
      </c>
      <c r="D45" s="4">
        <f>IF($A45="","",SUMIFS('Time Entries'!J:J,'Time Entries'!O:O,$A45,'Time Entries'!A:A,$O$4+1))</f>
        <v/>
      </c>
      <c r="E45" s="4">
        <f>IF($A45="","",SUMIFS('Time Entries'!J:J,'Time Entries'!O:O,$A45,'Time Entries'!A:A,$O$4+2))</f>
        <v/>
      </c>
      <c r="F45" s="4">
        <f>IF($A45="","",SUMIFS('Time Entries'!J:J,'Time Entries'!O:O,$A45,'Time Entries'!A:A,$O$4+3))</f>
        <v/>
      </c>
      <c r="G45" s="4">
        <f>IF($A45="","",SUMIFS('Time Entries'!J:J,'Time Entries'!O:O,$A45,'Time Entries'!A:A,$O$4+4))</f>
        <v/>
      </c>
      <c r="H45" s="4">
        <f>IF($A45="","",SUMIFS('Time Entries'!J:J,'Time Entries'!O:O,$A45,'Time Entries'!A:A,$O$4+5))</f>
        <v/>
      </c>
      <c r="I45" s="4">
        <f>IF($A45="","",SUMIFS('Time Entries'!J:J,'Time Entries'!O:O,$A45,'Time Entries'!A:A,$O$4+6))</f>
        <v/>
      </c>
      <c r="J45" s="4">
        <f>IF($A45="","",SUM(C45:I45))</f>
        <v/>
      </c>
    </row>
    <row r="46">
      <c r="A46">
        <f>IFERROR(INDEX('Time Entries'!$O:$O,MATCH(ROW()-4,'Time Entries'!$P:$P,0)),"")</f>
        <v/>
      </c>
      <c r="B46">
        <f>IF($A46="","",IFERROR(INDEX('Time Entries'!G:G,MATCH($A46,'Time Entries'!$O:$O,0)),""))</f>
        <v/>
      </c>
      <c r="C46" s="4">
        <f>IF($A46="","",SUMIFS('Time Entries'!J:J,'Time Entries'!O:O,$A46,'Time Entries'!A:A,$O$4+0))</f>
        <v/>
      </c>
      <c r="D46" s="4">
        <f>IF($A46="","",SUMIFS('Time Entries'!J:J,'Time Entries'!O:O,$A46,'Time Entries'!A:A,$O$4+1))</f>
        <v/>
      </c>
      <c r="E46" s="4">
        <f>IF($A46="","",SUMIFS('Time Entries'!J:J,'Time Entries'!O:O,$A46,'Time Entries'!A:A,$O$4+2))</f>
        <v/>
      </c>
      <c r="F46" s="4">
        <f>IF($A46="","",SUMIFS('Time Entries'!J:J,'Time Entries'!O:O,$A46,'Time Entries'!A:A,$O$4+3))</f>
        <v/>
      </c>
      <c r="G46" s="4">
        <f>IF($A46="","",SUMIFS('Time Entries'!J:J,'Time Entries'!O:O,$A46,'Time Entries'!A:A,$O$4+4))</f>
        <v/>
      </c>
      <c r="H46" s="4">
        <f>IF($A46="","",SUMIFS('Time Entries'!J:J,'Time Entries'!O:O,$A46,'Time Entries'!A:A,$O$4+5))</f>
        <v/>
      </c>
      <c r="I46" s="4">
        <f>IF($A46="","",SUMIFS('Time Entries'!J:J,'Time Entries'!O:O,$A46,'Time Entries'!A:A,$O$4+6))</f>
        <v/>
      </c>
      <c r="J46" s="4">
        <f>IF($A46="","",SUM(C46:I46))</f>
        <v/>
      </c>
    </row>
    <row r="47">
      <c r="A47">
        <f>IFERROR(INDEX('Time Entries'!$O:$O,MATCH(ROW()-4,'Time Entries'!$P:$P,0)),"")</f>
        <v/>
      </c>
      <c r="B47">
        <f>IF($A47="","",IFERROR(INDEX('Time Entries'!G:G,MATCH($A47,'Time Entries'!$O:$O,0)),""))</f>
        <v/>
      </c>
      <c r="C47" s="4">
        <f>IF($A47="","",SUMIFS('Time Entries'!J:J,'Time Entries'!O:O,$A47,'Time Entries'!A:A,$O$4+0))</f>
        <v/>
      </c>
      <c r="D47" s="4">
        <f>IF($A47="","",SUMIFS('Time Entries'!J:J,'Time Entries'!O:O,$A47,'Time Entries'!A:A,$O$4+1))</f>
        <v/>
      </c>
      <c r="E47" s="4">
        <f>IF($A47="","",SUMIFS('Time Entries'!J:J,'Time Entries'!O:O,$A47,'Time Entries'!A:A,$O$4+2))</f>
        <v/>
      </c>
      <c r="F47" s="4">
        <f>IF($A47="","",SUMIFS('Time Entries'!J:J,'Time Entries'!O:O,$A47,'Time Entries'!A:A,$O$4+3))</f>
        <v/>
      </c>
      <c r="G47" s="4">
        <f>IF($A47="","",SUMIFS('Time Entries'!J:J,'Time Entries'!O:O,$A47,'Time Entries'!A:A,$O$4+4))</f>
        <v/>
      </c>
      <c r="H47" s="4">
        <f>IF($A47="","",SUMIFS('Time Entries'!J:J,'Time Entries'!O:O,$A47,'Time Entries'!A:A,$O$4+5))</f>
        <v/>
      </c>
      <c r="I47" s="4">
        <f>IF($A47="","",SUMIFS('Time Entries'!J:J,'Time Entries'!O:O,$A47,'Time Entries'!A:A,$O$4+6))</f>
        <v/>
      </c>
      <c r="J47" s="4">
        <f>IF($A47="","",SUM(C47:I47))</f>
        <v/>
      </c>
    </row>
    <row r="48">
      <c r="A48">
        <f>IFERROR(INDEX('Time Entries'!$O:$O,MATCH(ROW()-4,'Time Entries'!$P:$P,0)),"")</f>
        <v/>
      </c>
      <c r="B48">
        <f>IF($A48="","",IFERROR(INDEX('Time Entries'!G:G,MATCH($A48,'Time Entries'!$O:$O,0)),""))</f>
        <v/>
      </c>
      <c r="C48" s="4">
        <f>IF($A48="","",SUMIFS('Time Entries'!J:J,'Time Entries'!O:O,$A48,'Time Entries'!A:A,$O$4+0))</f>
        <v/>
      </c>
      <c r="D48" s="4">
        <f>IF($A48="","",SUMIFS('Time Entries'!J:J,'Time Entries'!O:O,$A48,'Time Entries'!A:A,$O$4+1))</f>
        <v/>
      </c>
      <c r="E48" s="4">
        <f>IF($A48="","",SUMIFS('Time Entries'!J:J,'Time Entries'!O:O,$A48,'Time Entries'!A:A,$O$4+2))</f>
        <v/>
      </c>
      <c r="F48" s="4">
        <f>IF($A48="","",SUMIFS('Time Entries'!J:J,'Time Entries'!O:O,$A48,'Time Entries'!A:A,$O$4+3))</f>
        <v/>
      </c>
      <c r="G48" s="4">
        <f>IF($A48="","",SUMIFS('Time Entries'!J:J,'Time Entries'!O:O,$A48,'Time Entries'!A:A,$O$4+4))</f>
        <v/>
      </c>
      <c r="H48" s="4">
        <f>IF($A48="","",SUMIFS('Time Entries'!J:J,'Time Entries'!O:O,$A48,'Time Entries'!A:A,$O$4+5))</f>
        <v/>
      </c>
      <c r="I48" s="4">
        <f>IF($A48="","",SUMIFS('Time Entries'!J:J,'Time Entries'!O:O,$A48,'Time Entries'!A:A,$O$4+6))</f>
        <v/>
      </c>
      <c r="J48" s="4">
        <f>IF($A48="","",SUM(C48:I48))</f>
        <v/>
      </c>
    </row>
    <row r="49">
      <c r="A49">
        <f>IFERROR(INDEX('Time Entries'!$O:$O,MATCH(ROW()-4,'Time Entries'!$P:$P,0)),"")</f>
        <v/>
      </c>
      <c r="B49">
        <f>IF($A49="","",IFERROR(INDEX('Time Entries'!G:G,MATCH($A49,'Time Entries'!$O:$O,0)),""))</f>
        <v/>
      </c>
      <c r="C49" s="4">
        <f>IF($A49="","",SUMIFS('Time Entries'!J:J,'Time Entries'!O:O,$A49,'Time Entries'!A:A,$O$4+0))</f>
        <v/>
      </c>
      <c r="D49" s="4">
        <f>IF($A49="","",SUMIFS('Time Entries'!J:J,'Time Entries'!O:O,$A49,'Time Entries'!A:A,$O$4+1))</f>
        <v/>
      </c>
      <c r="E49" s="4">
        <f>IF($A49="","",SUMIFS('Time Entries'!J:J,'Time Entries'!O:O,$A49,'Time Entries'!A:A,$O$4+2))</f>
        <v/>
      </c>
      <c r="F49" s="4">
        <f>IF($A49="","",SUMIFS('Time Entries'!J:J,'Time Entries'!O:O,$A49,'Time Entries'!A:A,$O$4+3))</f>
        <v/>
      </c>
      <c r="G49" s="4">
        <f>IF($A49="","",SUMIFS('Time Entries'!J:J,'Time Entries'!O:O,$A49,'Time Entries'!A:A,$O$4+4))</f>
        <v/>
      </c>
      <c r="H49" s="4">
        <f>IF($A49="","",SUMIFS('Time Entries'!J:J,'Time Entries'!O:O,$A49,'Time Entries'!A:A,$O$4+5))</f>
        <v/>
      </c>
      <c r="I49" s="4">
        <f>IF($A49="","",SUMIFS('Time Entries'!J:J,'Time Entries'!O:O,$A49,'Time Entries'!A:A,$O$4+6))</f>
        <v/>
      </c>
      <c r="J49" s="4">
        <f>IF($A49="","",SUM(C49:I49))</f>
        <v/>
      </c>
    </row>
    <row r="50">
      <c r="A50">
        <f>IFERROR(INDEX('Time Entries'!$O:$O,MATCH(ROW()-4,'Time Entries'!$P:$P,0)),"")</f>
        <v/>
      </c>
      <c r="B50">
        <f>IF($A50="","",IFERROR(INDEX('Time Entries'!G:G,MATCH($A50,'Time Entries'!$O:$O,0)),""))</f>
        <v/>
      </c>
      <c r="C50" s="4">
        <f>IF($A50="","",SUMIFS('Time Entries'!J:J,'Time Entries'!O:O,$A50,'Time Entries'!A:A,$O$4+0))</f>
        <v/>
      </c>
      <c r="D50" s="4">
        <f>IF($A50="","",SUMIFS('Time Entries'!J:J,'Time Entries'!O:O,$A50,'Time Entries'!A:A,$O$4+1))</f>
        <v/>
      </c>
      <c r="E50" s="4">
        <f>IF($A50="","",SUMIFS('Time Entries'!J:J,'Time Entries'!O:O,$A50,'Time Entries'!A:A,$O$4+2))</f>
        <v/>
      </c>
      <c r="F50" s="4">
        <f>IF($A50="","",SUMIFS('Time Entries'!J:J,'Time Entries'!O:O,$A50,'Time Entries'!A:A,$O$4+3))</f>
        <v/>
      </c>
      <c r="G50" s="4">
        <f>IF($A50="","",SUMIFS('Time Entries'!J:J,'Time Entries'!O:O,$A50,'Time Entries'!A:A,$O$4+4))</f>
        <v/>
      </c>
      <c r="H50" s="4">
        <f>IF($A50="","",SUMIFS('Time Entries'!J:J,'Time Entries'!O:O,$A50,'Time Entries'!A:A,$O$4+5))</f>
        <v/>
      </c>
      <c r="I50" s="4">
        <f>IF($A50="","",SUMIFS('Time Entries'!J:J,'Time Entries'!O:O,$A50,'Time Entries'!A:A,$O$4+6))</f>
        <v/>
      </c>
      <c r="J50" s="4">
        <f>IF($A50="","",SUM(C50:I50))</f>
        <v/>
      </c>
    </row>
    <row r="51">
      <c r="A51">
        <f>IFERROR(INDEX('Time Entries'!$O:$O,MATCH(ROW()-4,'Time Entries'!$P:$P,0)),"")</f>
        <v/>
      </c>
      <c r="B51">
        <f>IF($A51="","",IFERROR(INDEX('Time Entries'!G:G,MATCH($A51,'Time Entries'!$O:$O,0)),""))</f>
        <v/>
      </c>
      <c r="C51" s="4">
        <f>IF($A51="","",SUMIFS('Time Entries'!J:J,'Time Entries'!O:O,$A51,'Time Entries'!A:A,$O$4+0))</f>
        <v/>
      </c>
      <c r="D51" s="4">
        <f>IF($A51="","",SUMIFS('Time Entries'!J:J,'Time Entries'!O:O,$A51,'Time Entries'!A:A,$O$4+1))</f>
        <v/>
      </c>
      <c r="E51" s="4">
        <f>IF($A51="","",SUMIFS('Time Entries'!J:J,'Time Entries'!O:O,$A51,'Time Entries'!A:A,$O$4+2))</f>
        <v/>
      </c>
      <c r="F51" s="4">
        <f>IF($A51="","",SUMIFS('Time Entries'!J:J,'Time Entries'!O:O,$A51,'Time Entries'!A:A,$O$4+3))</f>
        <v/>
      </c>
      <c r="G51" s="4">
        <f>IF($A51="","",SUMIFS('Time Entries'!J:J,'Time Entries'!O:O,$A51,'Time Entries'!A:A,$O$4+4))</f>
        <v/>
      </c>
      <c r="H51" s="4">
        <f>IF($A51="","",SUMIFS('Time Entries'!J:J,'Time Entries'!O:O,$A51,'Time Entries'!A:A,$O$4+5))</f>
        <v/>
      </c>
      <c r="I51" s="4">
        <f>IF($A51="","",SUMIFS('Time Entries'!J:J,'Time Entries'!O:O,$A51,'Time Entries'!A:A,$O$4+6))</f>
        <v/>
      </c>
      <c r="J51" s="4">
        <f>IF($A51="","",SUM(C51:I51))</f>
        <v/>
      </c>
    </row>
    <row r="52">
      <c r="A52">
        <f>IFERROR(INDEX('Time Entries'!$O:$O,MATCH(ROW()-4,'Time Entries'!$P:$P,0)),"")</f>
        <v/>
      </c>
      <c r="B52">
        <f>IF($A52="","",IFERROR(INDEX('Time Entries'!G:G,MATCH($A52,'Time Entries'!$O:$O,0)),""))</f>
        <v/>
      </c>
      <c r="C52" s="4">
        <f>IF($A52="","",SUMIFS('Time Entries'!J:J,'Time Entries'!O:O,$A52,'Time Entries'!A:A,$O$4+0))</f>
        <v/>
      </c>
      <c r="D52" s="4">
        <f>IF($A52="","",SUMIFS('Time Entries'!J:J,'Time Entries'!O:O,$A52,'Time Entries'!A:A,$O$4+1))</f>
        <v/>
      </c>
      <c r="E52" s="4">
        <f>IF($A52="","",SUMIFS('Time Entries'!J:J,'Time Entries'!O:O,$A52,'Time Entries'!A:A,$O$4+2))</f>
        <v/>
      </c>
      <c r="F52" s="4">
        <f>IF($A52="","",SUMIFS('Time Entries'!J:J,'Time Entries'!O:O,$A52,'Time Entries'!A:A,$O$4+3))</f>
        <v/>
      </c>
      <c r="G52" s="4">
        <f>IF($A52="","",SUMIFS('Time Entries'!J:J,'Time Entries'!O:O,$A52,'Time Entries'!A:A,$O$4+4))</f>
        <v/>
      </c>
      <c r="H52" s="4">
        <f>IF($A52="","",SUMIFS('Time Entries'!J:J,'Time Entries'!O:O,$A52,'Time Entries'!A:A,$O$4+5))</f>
        <v/>
      </c>
      <c r="I52" s="4">
        <f>IF($A52="","",SUMIFS('Time Entries'!J:J,'Time Entries'!O:O,$A52,'Time Entries'!A:A,$O$4+6))</f>
        <v/>
      </c>
      <c r="J52" s="4">
        <f>IF($A52="","",SUM(C52:I52))</f>
        <v/>
      </c>
    </row>
    <row r="53">
      <c r="A53">
        <f>IFERROR(INDEX('Time Entries'!$O:$O,MATCH(ROW()-4,'Time Entries'!$P:$P,0)),"")</f>
        <v/>
      </c>
      <c r="B53">
        <f>IF($A53="","",IFERROR(INDEX('Time Entries'!G:G,MATCH($A53,'Time Entries'!$O:$O,0)),""))</f>
        <v/>
      </c>
      <c r="C53" s="4">
        <f>IF($A53="","",SUMIFS('Time Entries'!J:J,'Time Entries'!O:O,$A53,'Time Entries'!A:A,$O$4+0))</f>
        <v/>
      </c>
      <c r="D53" s="4">
        <f>IF($A53="","",SUMIFS('Time Entries'!J:J,'Time Entries'!O:O,$A53,'Time Entries'!A:A,$O$4+1))</f>
        <v/>
      </c>
      <c r="E53" s="4">
        <f>IF($A53="","",SUMIFS('Time Entries'!J:J,'Time Entries'!O:O,$A53,'Time Entries'!A:A,$O$4+2))</f>
        <v/>
      </c>
      <c r="F53" s="4">
        <f>IF($A53="","",SUMIFS('Time Entries'!J:J,'Time Entries'!O:O,$A53,'Time Entries'!A:A,$O$4+3))</f>
        <v/>
      </c>
      <c r="G53" s="4">
        <f>IF($A53="","",SUMIFS('Time Entries'!J:J,'Time Entries'!O:O,$A53,'Time Entries'!A:A,$O$4+4))</f>
        <v/>
      </c>
      <c r="H53" s="4">
        <f>IF($A53="","",SUMIFS('Time Entries'!J:J,'Time Entries'!O:O,$A53,'Time Entries'!A:A,$O$4+5))</f>
        <v/>
      </c>
      <c r="I53" s="4">
        <f>IF($A53="","",SUMIFS('Time Entries'!J:J,'Time Entries'!O:O,$A53,'Time Entries'!A:A,$O$4+6))</f>
        <v/>
      </c>
      <c r="J53" s="4">
        <f>IF($A53="","",SUM(C53:I53))</f>
        <v/>
      </c>
    </row>
    <row r="54">
      <c r="A54">
        <f>IFERROR(INDEX('Time Entries'!$O:$O,MATCH(ROW()-4,'Time Entries'!$P:$P,0)),"")</f>
        <v/>
      </c>
      <c r="B54">
        <f>IF($A54="","",IFERROR(INDEX('Time Entries'!G:G,MATCH($A54,'Time Entries'!$O:$O,0)),""))</f>
        <v/>
      </c>
      <c r="C54" s="4">
        <f>IF($A54="","",SUMIFS('Time Entries'!J:J,'Time Entries'!O:O,$A54,'Time Entries'!A:A,$O$4+0))</f>
        <v/>
      </c>
      <c r="D54" s="4">
        <f>IF($A54="","",SUMIFS('Time Entries'!J:J,'Time Entries'!O:O,$A54,'Time Entries'!A:A,$O$4+1))</f>
        <v/>
      </c>
      <c r="E54" s="4">
        <f>IF($A54="","",SUMIFS('Time Entries'!J:J,'Time Entries'!O:O,$A54,'Time Entries'!A:A,$O$4+2))</f>
        <v/>
      </c>
      <c r="F54" s="4">
        <f>IF($A54="","",SUMIFS('Time Entries'!J:J,'Time Entries'!O:O,$A54,'Time Entries'!A:A,$O$4+3))</f>
        <v/>
      </c>
      <c r="G54" s="4">
        <f>IF($A54="","",SUMIFS('Time Entries'!J:J,'Time Entries'!O:O,$A54,'Time Entries'!A:A,$O$4+4))</f>
        <v/>
      </c>
      <c r="H54" s="4">
        <f>IF($A54="","",SUMIFS('Time Entries'!J:J,'Time Entries'!O:O,$A54,'Time Entries'!A:A,$O$4+5))</f>
        <v/>
      </c>
      <c r="I54" s="4">
        <f>IF($A54="","",SUMIFS('Time Entries'!J:J,'Time Entries'!O:O,$A54,'Time Entries'!A:A,$O$4+6))</f>
        <v/>
      </c>
      <c r="J54" s="4">
        <f>IF($A54="","",SUM(C54:I54))</f>
        <v/>
      </c>
    </row>
    <row r="55">
      <c r="A55">
        <f>IFERROR(INDEX('Time Entries'!$O:$O,MATCH(ROW()-4,'Time Entries'!$P:$P,0)),"")</f>
        <v/>
      </c>
      <c r="B55">
        <f>IF($A55="","",IFERROR(INDEX('Time Entries'!G:G,MATCH($A55,'Time Entries'!$O:$O,0)),""))</f>
        <v/>
      </c>
      <c r="C55" s="4">
        <f>IF($A55="","",SUMIFS('Time Entries'!J:J,'Time Entries'!O:O,$A55,'Time Entries'!A:A,$O$4+0))</f>
        <v/>
      </c>
      <c r="D55" s="4">
        <f>IF($A55="","",SUMIFS('Time Entries'!J:J,'Time Entries'!O:O,$A55,'Time Entries'!A:A,$O$4+1))</f>
        <v/>
      </c>
      <c r="E55" s="4">
        <f>IF($A55="","",SUMIFS('Time Entries'!J:J,'Time Entries'!O:O,$A55,'Time Entries'!A:A,$O$4+2))</f>
        <v/>
      </c>
      <c r="F55" s="4">
        <f>IF($A55="","",SUMIFS('Time Entries'!J:J,'Time Entries'!O:O,$A55,'Time Entries'!A:A,$O$4+3))</f>
        <v/>
      </c>
      <c r="G55" s="4">
        <f>IF($A55="","",SUMIFS('Time Entries'!J:J,'Time Entries'!O:O,$A55,'Time Entries'!A:A,$O$4+4))</f>
        <v/>
      </c>
      <c r="H55" s="4">
        <f>IF($A55="","",SUMIFS('Time Entries'!J:J,'Time Entries'!O:O,$A55,'Time Entries'!A:A,$O$4+5))</f>
        <v/>
      </c>
      <c r="I55" s="4">
        <f>IF($A55="","",SUMIFS('Time Entries'!J:J,'Time Entries'!O:O,$A55,'Time Entries'!A:A,$O$4+6))</f>
        <v/>
      </c>
      <c r="J55" s="4">
        <f>IF($A55="","",SUM(C55:I55))</f>
        <v/>
      </c>
    </row>
    <row r="56">
      <c r="A56">
        <f>IFERROR(INDEX('Time Entries'!$O:$O,MATCH(ROW()-4,'Time Entries'!$P:$P,0)),"")</f>
        <v/>
      </c>
      <c r="B56">
        <f>IF($A56="","",IFERROR(INDEX('Time Entries'!G:G,MATCH($A56,'Time Entries'!$O:$O,0)),""))</f>
        <v/>
      </c>
      <c r="C56" s="4">
        <f>IF($A56="","",SUMIFS('Time Entries'!J:J,'Time Entries'!O:O,$A56,'Time Entries'!A:A,$O$4+0))</f>
        <v/>
      </c>
      <c r="D56" s="4">
        <f>IF($A56="","",SUMIFS('Time Entries'!J:J,'Time Entries'!O:O,$A56,'Time Entries'!A:A,$O$4+1))</f>
        <v/>
      </c>
      <c r="E56" s="4">
        <f>IF($A56="","",SUMIFS('Time Entries'!J:J,'Time Entries'!O:O,$A56,'Time Entries'!A:A,$O$4+2))</f>
        <v/>
      </c>
      <c r="F56" s="4">
        <f>IF($A56="","",SUMIFS('Time Entries'!J:J,'Time Entries'!O:O,$A56,'Time Entries'!A:A,$O$4+3))</f>
        <v/>
      </c>
      <c r="G56" s="4">
        <f>IF($A56="","",SUMIFS('Time Entries'!J:J,'Time Entries'!O:O,$A56,'Time Entries'!A:A,$O$4+4))</f>
        <v/>
      </c>
      <c r="H56" s="4">
        <f>IF($A56="","",SUMIFS('Time Entries'!J:J,'Time Entries'!O:O,$A56,'Time Entries'!A:A,$O$4+5))</f>
        <v/>
      </c>
      <c r="I56" s="4">
        <f>IF($A56="","",SUMIFS('Time Entries'!J:J,'Time Entries'!O:O,$A56,'Time Entries'!A:A,$O$4+6))</f>
        <v/>
      </c>
      <c r="J56" s="4">
        <f>IF($A56="","",SUM(C56:I56))</f>
        <v/>
      </c>
    </row>
    <row r="57">
      <c r="A57">
        <f>IFERROR(INDEX('Time Entries'!$O:$O,MATCH(ROW()-4,'Time Entries'!$P:$P,0)),"")</f>
        <v/>
      </c>
      <c r="B57">
        <f>IF($A57="","",IFERROR(INDEX('Time Entries'!G:G,MATCH($A57,'Time Entries'!$O:$O,0)),""))</f>
        <v/>
      </c>
      <c r="C57" s="4">
        <f>IF($A57="","",SUMIFS('Time Entries'!J:J,'Time Entries'!O:O,$A57,'Time Entries'!A:A,$O$4+0))</f>
        <v/>
      </c>
      <c r="D57" s="4">
        <f>IF($A57="","",SUMIFS('Time Entries'!J:J,'Time Entries'!O:O,$A57,'Time Entries'!A:A,$O$4+1))</f>
        <v/>
      </c>
      <c r="E57" s="4">
        <f>IF($A57="","",SUMIFS('Time Entries'!J:J,'Time Entries'!O:O,$A57,'Time Entries'!A:A,$O$4+2))</f>
        <v/>
      </c>
      <c r="F57" s="4">
        <f>IF($A57="","",SUMIFS('Time Entries'!J:J,'Time Entries'!O:O,$A57,'Time Entries'!A:A,$O$4+3))</f>
        <v/>
      </c>
      <c r="G57" s="4">
        <f>IF($A57="","",SUMIFS('Time Entries'!J:J,'Time Entries'!O:O,$A57,'Time Entries'!A:A,$O$4+4))</f>
        <v/>
      </c>
      <c r="H57" s="4">
        <f>IF($A57="","",SUMIFS('Time Entries'!J:J,'Time Entries'!O:O,$A57,'Time Entries'!A:A,$O$4+5))</f>
        <v/>
      </c>
      <c r="I57" s="4">
        <f>IF($A57="","",SUMIFS('Time Entries'!J:J,'Time Entries'!O:O,$A57,'Time Entries'!A:A,$O$4+6))</f>
        <v/>
      </c>
      <c r="J57" s="4">
        <f>IF($A57="","",SUM(C57:I57))</f>
        <v/>
      </c>
    </row>
    <row r="58">
      <c r="A58">
        <f>IFERROR(INDEX('Time Entries'!$O:$O,MATCH(ROW()-4,'Time Entries'!$P:$P,0)),"")</f>
        <v/>
      </c>
      <c r="B58">
        <f>IF($A58="","",IFERROR(INDEX('Time Entries'!G:G,MATCH($A58,'Time Entries'!$O:$O,0)),""))</f>
        <v/>
      </c>
      <c r="C58" s="4">
        <f>IF($A58="","",SUMIFS('Time Entries'!J:J,'Time Entries'!O:O,$A58,'Time Entries'!A:A,$O$4+0))</f>
        <v/>
      </c>
      <c r="D58" s="4">
        <f>IF($A58="","",SUMIFS('Time Entries'!J:J,'Time Entries'!O:O,$A58,'Time Entries'!A:A,$O$4+1))</f>
        <v/>
      </c>
      <c r="E58" s="4">
        <f>IF($A58="","",SUMIFS('Time Entries'!J:J,'Time Entries'!O:O,$A58,'Time Entries'!A:A,$O$4+2))</f>
        <v/>
      </c>
      <c r="F58" s="4">
        <f>IF($A58="","",SUMIFS('Time Entries'!J:J,'Time Entries'!O:O,$A58,'Time Entries'!A:A,$O$4+3))</f>
        <v/>
      </c>
      <c r="G58" s="4">
        <f>IF($A58="","",SUMIFS('Time Entries'!J:J,'Time Entries'!O:O,$A58,'Time Entries'!A:A,$O$4+4))</f>
        <v/>
      </c>
      <c r="H58" s="4">
        <f>IF($A58="","",SUMIFS('Time Entries'!J:J,'Time Entries'!O:O,$A58,'Time Entries'!A:A,$O$4+5))</f>
        <v/>
      </c>
      <c r="I58" s="4">
        <f>IF($A58="","",SUMIFS('Time Entries'!J:J,'Time Entries'!O:O,$A58,'Time Entries'!A:A,$O$4+6))</f>
        <v/>
      </c>
      <c r="J58" s="4">
        <f>IF($A58="","",SUM(C58:I58))</f>
        <v/>
      </c>
    </row>
    <row r="59">
      <c r="A59">
        <f>IFERROR(INDEX('Time Entries'!$O:$O,MATCH(ROW()-4,'Time Entries'!$P:$P,0)),"")</f>
        <v/>
      </c>
      <c r="B59">
        <f>IF($A59="","",IFERROR(INDEX('Time Entries'!G:G,MATCH($A59,'Time Entries'!$O:$O,0)),""))</f>
        <v/>
      </c>
      <c r="C59" s="4">
        <f>IF($A59="","",SUMIFS('Time Entries'!J:J,'Time Entries'!O:O,$A59,'Time Entries'!A:A,$O$4+0))</f>
        <v/>
      </c>
      <c r="D59" s="4">
        <f>IF($A59="","",SUMIFS('Time Entries'!J:J,'Time Entries'!O:O,$A59,'Time Entries'!A:A,$O$4+1))</f>
        <v/>
      </c>
      <c r="E59" s="4">
        <f>IF($A59="","",SUMIFS('Time Entries'!J:J,'Time Entries'!O:O,$A59,'Time Entries'!A:A,$O$4+2))</f>
        <v/>
      </c>
      <c r="F59" s="4">
        <f>IF($A59="","",SUMIFS('Time Entries'!J:J,'Time Entries'!O:O,$A59,'Time Entries'!A:A,$O$4+3))</f>
        <v/>
      </c>
      <c r="G59" s="4">
        <f>IF($A59="","",SUMIFS('Time Entries'!J:J,'Time Entries'!O:O,$A59,'Time Entries'!A:A,$O$4+4))</f>
        <v/>
      </c>
      <c r="H59" s="4">
        <f>IF($A59="","",SUMIFS('Time Entries'!J:J,'Time Entries'!O:O,$A59,'Time Entries'!A:A,$O$4+5))</f>
        <v/>
      </c>
      <c r="I59" s="4">
        <f>IF($A59="","",SUMIFS('Time Entries'!J:J,'Time Entries'!O:O,$A59,'Time Entries'!A:A,$O$4+6))</f>
        <v/>
      </c>
      <c r="J59" s="4">
        <f>IF($A59="","",SUM(C59:I59))</f>
        <v/>
      </c>
    </row>
    <row r="60">
      <c r="A60">
        <f>IFERROR(INDEX('Time Entries'!$O:$O,MATCH(ROW()-4,'Time Entries'!$P:$P,0)),"")</f>
        <v/>
      </c>
      <c r="B60">
        <f>IF($A60="","",IFERROR(INDEX('Time Entries'!G:G,MATCH($A60,'Time Entries'!$O:$O,0)),""))</f>
        <v/>
      </c>
      <c r="C60" s="4">
        <f>IF($A60="","",SUMIFS('Time Entries'!J:J,'Time Entries'!O:O,$A60,'Time Entries'!A:A,$O$4+0))</f>
        <v/>
      </c>
      <c r="D60" s="4">
        <f>IF($A60="","",SUMIFS('Time Entries'!J:J,'Time Entries'!O:O,$A60,'Time Entries'!A:A,$O$4+1))</f>
        <v/>
      </c>
      <c r="E60" s="4">
        <f>IF($A60="","",SUMIFS('Time Entries'!J:J,'Time Entries'!O:O,$A60,'Time Entries'!A:A,$O$4+2))</f>
        <v/>
      </c>
      <c r="F60" s="4">
        <f>IF($A60="","",SUMIFS('Time Entries'!J:J,'Time Entries'!O:O,$A60,'Time Entries'!A:A,$O$4+3))</f>
        <v/>
      </c>
      <c r="G60" s="4">
        <f>IF($A60="","",SUMIFS('Time Entries'!J:J,'Time Entries'!O:O,$A60,'Time Entries'!A:A,$O$4+4))</f>
        <v/>
      </c>
      <c r="H60" s="4">
        <f>IF($A60="","",SUMIFS('Time Entries'!J:J,'Time Entries'!O:O,$A60,'Time Entries'!A:A,$O$4+5))</f>
        <v/>
      </c>
      <c r="I60" s="4">
        <f>IF($A60="","",SUMIFS('Time Entries'!J:J,'Time Entries'!O:O,$A60,'Time Entries'!A:A,$O$4+6))</f>
        <v/>
      </c>
      <c r="J60" s="4">
        <f>IF($A60="","",SUM(C60:I60))</f>
        <v/>
      </c>
    </row>
    <row r="61">
      <c r="A61">
        <f>IFERROR(INDEX('Time Entries'!$O:$O,MATCH(ROW()-4,'Time Entries'!$P:$P,0)),"")</f>
        <v/>
      </c>
      <c r="B61">
        <f>IF($A61="","",IFERROR(INDEX('Time Entries'!G:G,MATCH($A61,'Time Entries'!$O:$O,0)),""))</f>
        <v/>
      </c>
      <c r="C61" s="4">
        <f>IF($A61="","",SUMIFS('Time Entries'!J:J,'Time Entries'!O:O,$A61,'Time Entries'!A:A,$O$4+0))</f>
        <v/>
      </c>
      <c r="D61" s="4">
        <f>IF($A61="","",SUMIFS('Time Entries'!J:J,'Time Entries'!O:O,$A61,'Time Entries'!A:A,$O$4+1))</f>
        <v/>
      </c>
      <c r="E61" s="4">
        <f>IF($A61="","",SUMIFS('Time Entries'!J:J,'Time Entries'!O:O,$A61,'Time Entries'!A:A,$O$4+2))</f>
        <v/>
      </c>
      <c r="F61" s="4">
        <f>IF($A61="","",SUMIFS('Time Entries'!J:J,'Time Entries'!O:O,$A61,'Time Entries'!A:A,$O$4+3))</f>
        <v/>
      </c>
      <c r="G61" s="4">
        <f>IF($A61="","",SUMIFS('Time Entries'!J:J,'Time Entries'!O:O,$A61,'Time Entries'!A:A,$O$4+4))</f>
        <v/>
      </c>
      <c r="H61" s="4">
        <f>IF($A61="","",SUMIFS('Time Entries'!J:J,'Time Entries'!O:O,$A61,'Time Entries'!A:A,$O$4+5))</f>
        <v/>
      </c>
      <c r="I61" s="4">
        <f>IF($A61="","",SUMIFS('Time Entries'!J:J,'Time Entries'!O:O,$A61,'Time Entries'!A:A,$O$4+6))</f>
        <v/>
      </c>
      <c r="J61" s="4">
        <f>IF($A61="","",SUM(C61:I61))</f>
        <v/>
      </c>
    </row>
    <row r="62">
      <c r="A62">
        <f>IFERROR(INDEX('Time Entries'!$O:$O,MATCH(ROW()-4,'Time Entries'!$P:$P,0)),"")</f>
        <v/>
      </c>
      <c r="B62">
        <f>IF($A62="","",IFERROR(INDEX('Time Entries'!G:G,MATCH($A62,'Time Entries'!$O:$O,0)),""))</f>
        <v/>
      </c>
      <c r="C62" s="4">
        <f>IF($A62="","",SUMIFS('Time Entries'!J:J,'Time Entries'!O:O,$A62,'Time Entries'!A:A,$O$4+0))</f>
        <v/>
      </c>
      <c r="D62" s="4">
        <f>IF($A62="","",SUMIFS('Time Entries'!J:J,'Time Entries'!O:O,$A62,'Time Entries'!A:A,$O$4+1))</f>
        <v/>
      </c>
      <c r="E62" s="4">
        <f>IF($A62="","",SUMIFS('Time Entries'!J:J,'Time Entries'!O:O,$A62,'Time Entries'!A:A,$O$4+2))</f>
        <v/>
      </c>
      <c r="F62" s="4">
        <f>IF($A62="","",SUMIFS('Time Entries'!J:J,'Time Entries'!O:O,$A62,'Time Entries'!A:A,$O$4+3))</f>
        <v/>
      </c>
      <c r="G62" s="4">
        <f>IF($A62="","",SUMIFS('Time Entries'!J:J,'Time Entries'!O:O,$A62,'Time Entries'!A:A,$O$4+4))</f>
        <v/>
      </c>
      <c r="H62" s="4">
        <f>IF($A62="","",SUMIFS('Time Entries'!J:J,'Time Entries'!O:O,$A62,'Time Entries'!A:A,$O$4+5))</f>
        <v/>
      </c>
      <c r="I62" s="4">
        <f>IF($A62="","",SUMIFS('Time Entries'!J:J,'Time Entries'!O:O,$A62,'Time Entries'!A:A,$O$4+6))</f>
        <v/>
      </c>
      <c r="J62" s="4">
        <f>IF($A62="","",SUM(C62:I62))</f>
        <v/>
      </c>
    </row>
    <row r="63">
      <c r="A63">
        <f>IFERROR(INDEX('Time Entries'!$O:$O,MATCH(ROW()-4,'Time Entries'!$P:$P,0)),"")</f>
        <v/>
      </c>
      <c r="B63">
        <f>IF($A63="","",IFERROR(INDEX('Time Entries'!G:G,MATCH($A63,'Time Entries'!$O:$O,0)),""))</f>
        <v/>
      </c>
      <c r="C63" s="4">
        <f>IF($A63="","",SUMIFS('Time Entries'!J:J,'Time Entries'!O:O,$A63,'Time Entries'!A:A,$O$4+0))</f>
        <v/>
      </c>
      <c r="D63" s="4">
        <f>IF($A63="","",SUMIFS('Time Entries'!J:J,'Time Entries'!O:O,$A63,'Time Entries'!A:A,$O$4+1))</f>
        <v/>
      </c>
      <c r="E63" s="4">
        <f>IF($A63="","",SUMIFS('Time Entries'!J:J,'Time Entries'!O:O,$A63,'Time Entries'!A:A,$O$4+2))</f>
        <v/>
      </c>
      <c r="F63" s="4">
        <f>IF($A63="","",SUMIFS('Time Entries'!J:J,'Time Entries'!O:O,$A63,'Time Entries'!A:A,$O$4+3))</f>
        <v/>
      </c>
      <c r="G63" s="4">
        <f>IF($A63="","",SUMIFS('Time Entries'!J:J,'Time Entries'!O:O,$A63,'Time Entries'!A:A,$O$4+4))</f>
        <v/>
      </c>
      <c r="H63" s="4">
        <f>IF($A63="","",SUMIFS('Time Entries'!J:J,'Time Entries'!O:O,$A63,'Time Entries'!A:A,$O$4+5))</f>
        <v/>
      </c>
      <c r="I63" s="4">
        <f>IF($A63="","",SUMIFS('Time Entries'!J:J,'Time Entries'!O:O,$A63,'Time Entries'!A:A,$O$4+6))</f>
        <v/>
      </c>
      <c r="J63" s="4">
        <f>IF($A63="","",SUM(C63:I63))</f>
        <v/>
      </c>
    </row>
    <row r="64">
      <c r="A64">
        <f>IFERROR(INDEX('Time Entries'!$O:$O,MATCH(ROW()-4,'Time Entries'!$P:$P,0)),"")</f>
        <v/>
      </c>
      <c r="B64">
        <f>IF($A64="","",IFERROR(INDEX('Time Entries'!G:G,MATCH($A64,'Time Entries'!$O:$O,0)),""))</f>
        <v/>
      </c>
      <c r="C64" s="4">
        <f>IF($A64="","",SUMIFS('Time Entries'!J:J,'Time Entries'!O:O,$A64,'Time Entries'!A:A,$O$4+0))</f>
        <v/>
      </c>
      <c r="D64" s="4">
        <f>IF($A64="","",SUMIFS('Time Entries'!J:J,'Time Entries'!O:O,$A64,'Time Entries'!A:A,$O$4+1))</f>
        <v/>
      </c>
      <c r="E64" s="4">
        <f>IF($A64="","",SUMIFS('Time Entries'!J:J,'Time Entries'!O:O,$A64,'Time Entries'!A:A,$O$4+2))</f>
        <v/>
      </c>
      <c r="F64" s="4">
        <f>IF($A64="","",SUMIFS('Time Entries'!J:J,'Time Entries'!O:O,$A64,'Time Entries'!A:A,$O$4+3))</f>
        <v/>
      </c>
      <c r="G64" s="4">
        <f>IF($A64="","",SUMIFS('Time Entries'!J:J,'Time Entries'!O:O,$A64,'Time Entries'!A:A,$O$4+4))</f>
        <v/>
      </c>
      <c r="H64" s="4">
        <f>IF($A64="","",SUMIFS('Time Entries'!J:J,'Time Entries'!O:O,$A64,'Time Entries'!A:A,$O$4+5))</f>
        <v/>
      </c>
      <c r="I64" s="4">
        <f>IF($A64="","",SUMIFS('Time Entries'!J:J,'Time Entries'!O:O,$A64,'Time Entries'!A:A,$O$4+6))</f>
        <v/>
      </c>
      <c r="J64" s="4">
        <f>IF($A64="","",SUM(C64:I64))</f>
        <v/>
      </c>
    </row>
    <row r="66">
      <c r="A66" s="10" t="inlineStr">
        <is>
          <t>GRAND TOTAL</t>
        </is>
      </c>
      <c r="C66" s="11">
        <f>SUM(C5:C64)</f>
        <v/>
      </c>
      <c r="D66" s="11">
        <f>SUM(D5:D64)</f>
        <v/>
      </c>
      <c r="E66" s="11">
        <f>SUM(E5:E64)</f>
        <v/>
      </c>
      <c r="F66" s="11">
        <f>SUM(F5:F64)</f>
        <v/>
      </c>
      <c r="G66" s="11">
        <f>SUM(G5:G64)</f>
        <v/>
      </c>
      <c r="H66" s="11">
        <f>SUM(H5:H64)</f>
        <v/>
      </c>
      <c r="I66" s="11">
        <f>SUM(I5:I64)</f>
        <v/>
      </c>
      <c r="J66" s="11">
        <f>SUM(J5:J64)</f>
        <v/>
      </c>
      <c r="K66" s="11">
        <f>SUM(K5:K64)</f>
        <v/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5" customWidth="1" min="4" max="4"/>
    <col width="15" customWidth="1" min="5" max="5"/>
    <col width="12" customWidth="1" min="6" max="6"/>
    <col width="50" customWidth="1" min="7" max="7"/>
    <col hidden="1" width="10" customWidth="1" min="8" max="8"/>
    <col hidden="1" width="10" customWidth="1" min="9" max="9"/>
  </cols>
  <sheetData>
    <row r="1">
      <c r="A1" s="12" t="inlineStr">
        <is>
          <t>Daily Detail</t>
        </is>
      </c>
      <c r="C1" s="13">
        <f>MAX('Time Entries'!A:A)</f>
        <v/>
      </c>
      <c r="D1" s="14" t="inlineStr">
        <is>
          <t>(Edit C1 to change date)</t>
        </is>
      </c>
    </row>
    <row r="2">
      <c r="A2" s="15">
        <f>TEXT(C1,"dd-mm-yyyy")</f>
        <v/>
      </c>
    </row>
    <row r="3">
      <c r="A3" s="1" t="inlineStr">
        <is>
          <t>Time Range</t>
        </is>
      </c>
      <c r="B3" s="1" t="inlineStr">
        <is>
          <t>Project</t>
        </is>
      </c>
      <c r="C3" s="1" t="inlineStr">
        <is>
          <t>Father Task</t>
        </is>
      </c>
      <c r="D3" s="1" t="inlineStr">
        <is>
          <t>Sub Task Code</t>
        </is>
      </c>
      <c r="E3" s="1" t="inlineStr">
        <is>
          <t>Category</t>
        </is>
      </c>
      <c r="F3" s="1" t="inlineStr">
        <is>
          <t>Duration (h)</t>
        </is>
      </c>
      <c r="G3" s="1" t="inlineStr">
        <is>
          <t>Description</t>
        </is>
      </c>
    </row>
    <row r="4">
      <c r="A4" s="16">
        <f>IF($H4="","",IF(INDEX('Time Entries'!G:G,$H4)="","",INDEX('Time Entries'!G:G,$H4)&amp;" - "&amp;INDEX('Time Entries'!H:H,$H4)))</f>
        <v/>
      </c>
      <c r="B4" s="16">
        <f>IF($H4="","",IF(INDEX('Time Entries'!G:G,$H4)="","",INDEX('Time Entries'!M:M,$H4)))</f>
        <v/>
      </c>
      <c r="C4" s="16">
        <f>IF($H4="","",IF(INDEX('Time Entries'!G:G,$H4)="","",INDEX('Time Entries'!N:N,$H4)))</f>
        <v/>
      </c>
      <c r="D4" s="16">
        <f>IF($H4="","",IF(INDEX('Time Entries'!G:G,$H4)="","",INDEX('Time Entries'!F:F,$H4)))</f>
        <v/>
      </c>
      <c r="E4" s="16">
        <f>IF($H4="","",IF(INDEX('Time Entries'!G:G,$H4)="","",INDEX('Time Entries'!G:G,$H4)))</f>
        <v/>
      </c>
      <c r="F4" s="17">
        <f>IF($H4="","",IF(INDEX('Time Entries'!G:G,$H4)="","",INDEX('Time Entries'!J:J,$H4)))</f>
        <v/>
      </c>
      <c r="G4" s="18">
        <f>IF($H4="","",IF(INDEX('Time Entries'!G:G,$H4)="","",INDEX('Time Entries'!K:K,$H4)))</f>
        <v/>
      </c>
      <c r="H4">
        <f>IFERROR(MATCH($C$1,'Time Entries'!A:A,0),"")</f>
        <v/>
      </c>
      <c r="I4">
        <f>IFERROR(COUNTIF('Time Entries'!A:A,$C$1),"")</f>
        <v/>
      </c>
    </row>
    <row r="5">
      <c r="A5" s="16">
        <f>IF($H5="","",IF(INDEX('Time Entries'!G:G,$H5)="","",INDEX('Time Entries'!G:G,$H5)&amp;" - "&amp;INDEX('Time Entries'!H:H,$H5)))</f>
        <v/>
      </c>
      <c r="B5" s="16">
        <f>IF($H5="","",IF(INDEX('Time Entries'!G:G,$H5)="","",INDEX('Time Entries'!M:M,$H5)))</f>
        <v/>
      </c>
      <c r="C5" s="16">
        <f>IF($H5="","",IF(INDEX('Time Entries'!G:G,$H5)="","",INDEX('Time Entries'!N:N,$H5)))</f>
        <v/>
      </c>
      <c r="D5" s="16">
        <f>IF($H5="","",IF(INDEX('Time Entries'!G:G,$H5)="","",INDEX('Time Entries'!F:F,$H5)))</f>
        <v/>
      </c>
      <c r="E5" s="16">
        <f>IF($H5="","",IF(INDEX('Time Entries'!G:G,$H5)="","",INDEX('Time Entries'!G:G,$H5)))</f>
        <v/>
      </c>
      <c r="F5" s="17">
        <f>IF($H5="","",IF(INDEX('Time Entries'!G:G,$H5)="","",INDEX('Time Entries'!J:J,$H5)))</f>
        <v/>
      </c>
      <c r="G5" s="18">
        <f>IF($H5="","",IF(INDEX('Time Entries'!G:G,$H5)="","",INDEX('Time Entries'!K:K,$H5)))</f>
        <v/>
      </c>
      <c r="H5">
        <f>IF(AND($I$4&gt;=ROW()-3,$H$4&lt;&gt;""),$H$4+ROW()-4,"")</f>
        <v/>
      </c>
    </row>
    <row r="6">
      <c r="A6" s="16">
        <f>IF($H6="","",IF(INDEX('Time Entries'!G:G,$H6)="","",INDEX('Time Entries'!G:G,$H6)&amp;" - "&amp;INDEX('Time Entries'!H:H,$H6)))</f>
        <v/>
      </c>
      <c r="B6" s="16">
        <f>IF($H6="","",IF(INDEX('Time Entries'!G:G,$H6)="","",INDEX('Time Entries'!M:M,$H6)))</f>
        <v/>
      </c>
      <c r="C6" s="16">
        <f>IF($H6="","",IF(INDEX('Time Entries'!G:G,$H6)="","",INDEX('Time Entries'!N:N,$H6)))</f>
        <v/>
      </c>
      <c r="D6" s="16">
        <f>IF($H6="","",IF(INDEX('Time Entries'!G:G,$H6)="","",INDEX('Time Entries'!F:F,$H6)))</f>
        <v/>
      </c>
      <c r="E6" s="16">
        <f>IF($H6="","",IF(INDEX('Time Entries'!G:G,$H6)="","",INDEX('Time Entries'!G:G,$H6)))</f>
        <v/>
      </c>
      <c r="F6" s="17">
        <f>IF($H6="","",IF(INDEX('Time Entries'!G:G,$H6)="","",INDEX('Time Entries'!J:J,$H6)))</f>
        <v/>
      </c>
      <c r="G6" s="18">
        <f>IF($H6="","",IF(INDEX('Time Entries'!G:G,$H6)="","",INDEX('Time Entries'!K:K,$H6)))</f>
        <v/>
      </c>
      <c r="H6">
        <f>IF(AND($I$4&gt;=ROW()-3,$H$4&lt;&gt;""),$H$4+ROW()-4,"")</f>
        <v/>
      </c>
    </row>
    <row r="7">
      <c r="A7" s="16">
        <f>IF($H7="","",IF(INDEX('Time Entries'!G:G,$H7)="","",INDEX('Time Entries'!G:G,$H7)&amp;" - "&amp;INDEX('Time Entries'!H:H,$H7)))</f>
        <v/>
      </c>
      <c r="B7" s="16">
        <f>IF($H7="","",IF(INDEX('Time Entries'!G:G,$H7)="","",INDEX('Time Entries'!M:M,$H7)))</f>
        <v/>
      </c>
      <c r="C7" s="16">
        <f>IF($H7="","",IF(INDEX('Time Entries'!G:G,$H7)="","",INDEX('Time Entries'!N:N,$H7)))</f>
        <v/>
      </c>
      <c r="D7" s="16">
        <f>IF($H7="","",IF(INDEX('Time Entries'!G:G,$H7)="","",INDEX('Time Entries'!F:F,$H7)))</f>
        <v/>
      </c>
      <c r="E7" s="16">
        <f>IF($H7="","",IF(INDEX('Time Entries'!G:G,$H7)="","",INDEX('Time Entries'!G:G,$H7)))</f>
        <v/>
      </c>
      <c r="F7" s="17">
        <f>IF($H7="","",IF(INDEX('Time Entries'!G:G,$H7)="","",INDEX('Time Entries'!J:J,$H7)))</f>
        <v/>
      </c>
      <c r="G7" s="18">
        <f>IF($H7="","",IF(INDEX('Time Entries'!G:G,$H7)="","",INDEX('Time Entries'!K:K,$H7)))</f>
        <v/>
      </c>
      <c r="H7">
        <f>IF(AND($I$4&gt;=ROW()-3,$H$4&lt;&gt;""),$H$4+ROW()-4,"")</f>
        <v/>
      </c>
    </row>
    <row r="8">
      <c r="A8" s="16">
        <f>IF($H8="","",IF(INDEX('Time Entries'!G:G,$H8)="","",INDEX('Time Entries'!G:G,$H8)&amp;" - "&amp;INDEX('Time Entries'!H:H,$H8)))</f>
        <v/>
      </c>
      <c r="B8" s="16">
        <f>IF($H8="","",IF(INDEX('Time Entries'!G:G,$H8)="","",INDEX('Time Entries'!M:M,$H8)))</f>
        <v/>
      </c>
      <c r="C8" s="16">
        <f>IF($H8="","",IF(INDEX('Time Entries'!G:G,$H8)="","",INDEX('Time Entries'!N:N,$H8)))</f>
        <v/>
      </c>
      <c r="D8" s="16">
        <f>IF($H8="","",IF(INDEX('Time Entries'!G:G,$H8)="","",INDEX('Time Entries'!F:F,$H8)))</f>
        <v/>
      </c>
      <c r="E8" s="16">
        <f>IF($H8="","",IF(INDEX('Time Entries'!G:G,$H8)="","",INDEX('Time Entries'!G:G,$H8)))</f>
        <v/>
      </c>
      <c r="F8" s="17">
        <f>IF($H8="","",IF(INDEX('Time Entries'!G:G,$H8)="","",INDEX('Time Entries'!J:J,$H8)))</f>
        <v/>
      </c>
      <c r="G8" s="18">
        <f>IF($H8="","",IF(INDEX('Time Entries'!G:G,$H8)="","",INDEX('Time Entries'!K:K,$H8)))</f>
        <v/>
      </c>
      <c r="H8">
        <f>IF(AND($I$4&gt;=ROW()-3,$H$4&lt;&gt;""),$H$4+ROW()-4,"")</f>
        <v/>
      </c>
    </row>
    <row r="9">
      <c r="A9" s="16">
        <f>IF($H9="","",IF(INDEX('Time Entries'!G:G,$H9)="","",INDEX('Time Entries'!G:G,$H9)&amp;" - "&amp;INDEX('Time Entries'!H:H,$H9)))</f>
        <v/>
      </c>
      <c r="B9" s="16">
        <f>IF($H9="","",IF(INDEX('Time Entries'!G:G,$H9)="","",INDEX('Time Entries'!M:M,$H9)))</f>
        <v/>
      </c>
      <c r="C9" s="16">
        <f>IF($H9="","",IF(INDEX('Time Entries'!G:G,$H9)="","",INDEX('Time Entries'!N:N,$H9)))</f>
        <v/>
      </c>
      <c r="D9" s="16">
        <f>IF($H9="","",IF(INDEX('Time Entries'!G:G,$H9)="","",INDEX('Time Entries'!F:F,$H9)))</f>
        <v/>
      </c>
      <c r="E9" s="16">
        <f>IF($H9="","",IF(INDEX('Time Entries'!G:G,$H9)="","",INDEX('Time Entries'!G:G,$H9)))</f>
        <v/>
      </c>
      <c r="F9" s="17">
        <f>IF($H9="","",IF(INDEX('Time Entries'!G:G,$H9)="","",INDEX('Time Entries'!J:J,$H9)))</f>
        <v/>
      </c>
      <c r="G9" s="18">
        <f>IF($H9="","",IF(INDEX('Time Entries'!G:G,$H9)="","",INDEX('Time Entries'!K:K,$H9)))</f>
        <v/>
      </c>
      <c r="H9">
        <f>IF(AND($I$4&gt;=ROW()-3,$H$4&lt;&gt;""),$H$4+ROW()-4,"")</f>
        <v/>
      </c>
    </row>
    <row r="10">
      <c r="A10" s="16">
        <f>IF($H10="","",IF(INDEX('Time Entries'!G:G,$H10)="","",INDEX('Time Entries'!G:G,$H10)&amp;" - "&amp;INDEX('Time Entries'!H:H,$H10)))</f>
        <v/>
      </c>
      <c r="B10" s="16">
        <f>IF($H10="","",IF(INDEX('Time Entries'!G:G,$H10)="","",INDEX('Time Entries'!M:M,$H10)))</f>
        <v/>
      </c>
      <c r="C10" s="16">
        <f>IF($H10="","",IF(INDEX('Time Entries'!G:G,$H10)="","",INDEX('Time Entries'!N:N,$H10)))</f>
        <v/>
      </c>
      <c r="D10" s="16">
        <f>IF($H10="","",IF(INDEX('Time Entries'!G:G,$H10)="","",INDEX('Time Entries'!F:F,$H10)))</f>
        <v/>
      </c>
      <c r="E10" s="16">
        <f>IF($H10="","",IF(INDEX('Time Entries'!G:G,$H10)="","",INDEX('Time Entries'!G:G,$H10)))</f>
        <v/>
      </c>
      <c r="F10" s="17">
        <f>IF($H10="","",IF(INDEX('Time Entries'!G:G,$H10)="","",INDEX('Time Entries'!J:J,$H10)))</f>
        <v/>
      </c>
      <c r="G10" s="18">
        <f>IF($H10="","",IF(INDEX('Time Entries'!G:G,$H10)="","",INDEX('Time Entries'!K:K,$H10)))</f>
        <v/>
      </c>
      <c r="H10">
        <f>IF(AND($I$4&gt;=ROW()-3,$H$4&lt;&gt;""),$H$4+ROW()-4,"")</f>
        <v/>
      </c>
    </row>
    <row r="11">
      <c r="A11" s="16">
        <f>IF($H11="","",IF(INDEX('Time Entries'!G:G,$H11)="","",INDEX('Time Entries'!G:G,$H11)&amp;" - "&amp;INDEX('Time Entries'!H:H,$H11)))</f>
        <v/>
      </c>
      <c r="B11" s="16">
        <f>IF($H11="","",IF(INDEX('Time Entries'!G:G,$H11)="","",INDEX('Time Entries'!M:M,$H11)))</f>
        <v/>
      </c>
      <c r="C11" s="16">
        <f>IF($H11="","",IF(INDEX('Time Entries'!G:G,$H11)="","",INDEX('Time Entries'!N:N,$H11)))</f>
        <v/>
      </c>
      <c r="D11" s="16">
        <f>IF($H11="","",IF(INDEX('Time Entries'!G:G,$H11)="","",INDEX('Time Entries'!F:F,$H11)))</f>
        <v/>
      </c>
      <c r="E11" s="16">
        <f>IF($H11="","",IF(INDEX('Time Entries'!G:G,$H11)="","",INDEX('Time Entries'!G:G,$H11)))</f>
        <v/>
      </c>
      <c r="F11" s="17">
        <f>IF($H11="","",IF(INDEX('Time Entries'!G:G,$H11)="","",INDEX('Time Entries'!J:J,$H11)))</f>
        <v/>
      </c>
      <c r="G11" s="18">
        <f>IF($H11="","",IF(INDEX('Time Entries'!G:G,$H11)="","",INDEX('Time Entries'!K:K,$H11)))</f>
        <v/>
      </c>
      <c r="H11">
        <f>IF(AND($I$4&gt;=ROW()-3,$H$4&lt;&gt;""),$H$4+ROW()-4,"")</f>
        <v/>
      </c>
    </row>
    <row r="12">
      <c r="A12" s="16">
        <f>IF($H12="","",IF(INDEX('Time Entries'!G:G,$H12)="","",INDEX('Time Entries'!G:G,$H12)&amp;" - "&amp;INDEX('Time Entries'!H:H,$H12)))</f>
        <v/>
      </c>
      <c r="B12" s="16">
        <f>IF($H12="","",IF(INDEX('Time Entries'!G:G,$H12)="","",INDEX('Time Entries'!M:M,$H12)))</f>
        <v/>
      </c>
      <c r="C12" s="16">
        <f>IF($H12="","",IF(INDEX('Time Entries'!G:G,$H12)="","",INDEX('Time Entries'!N:N,$H12)))</f>
        <v/>
      </c>
      <c r="D12" s="16">
        <f>IF($H12="","",IF(INDEX('Time Entries'!G:G,$H12)="","",INDEX('Time Entries'!F:F,$H12)))</f>
        <v/>
      </c>
      <c r="E12" s="16">
        <f>IF($H12="","",IF(INDEX('Time Entries'!G:G,$H12)="","",INDEX('Time Entries'!G:G,$H12)))</f>
        <v/>
      </c>
      <c r="F12" s="17">
        <f>IF($H12="","",IF(INDEX('Time Entries'!G:G,$H12)="","",INDEX('Time Entries'!J:J,$H12)))</f>
        <v/>
      </c>
      <c r="G12" s="18">
        <f>IF($H12="","",IF(INDEX('Time Entries'!G:G,$H12)="","",INDEX('Time Entries'!K:K,$H12)))</f>
        <v/>
      </c>
      <c r="H12">
        <f>IF(AND($I$4&gt;=ROW()-3,$H$4&lt;&gt;""),$H$4+ROW()-4,"")</f>
        <v/>
      </c>
    </row>
    <row r="13">
      <c r="A13" s="16">
        <f>IF($H13="","",IF(INDEX('Time Entries'!G:G,$H13)="","",INDEX('Time Entries'!G:G,$H13)&amp;" - "&amp;INDEX('Time Entries'!H:H,$H13)))</f>
        <v/>
      </c>
      <c r="B13" s="16">
        <f>IF($H13="","",IF(INDEX('Time Entries'!G:G,$H13)="","",INDEX('Time Entries'!M:M,$H13)))</f>
        <v/>
      </c>
      <c r="C13" s="16">
        <f>IF($H13="","",IF(INDEX('Time Entries'!G:G,$H13)="","",INDEX('Time Entries'!N:N,$H13)))</f>
        <v/>
      </c>
      <c r="D13" s="16">
        <f>IF($H13="","",IF(INDEX('Time Entries'!G:G,$H13)="","",INDEX('Time Entries'!F:F,$H13)))</f>
        <v/>
      </c>
      <c r="E13" s="16">
        <f>IF($H13="","",IF(INDEX('Time Entries'!G:G,$H13)="","",INDEX('Time Entries'!G:G,$H13)))</f>
        <v/>
      </c>
      <c r="F13" s="17">
        <f>IF($H13="","",IF(INDEX('Time Entries'!G:G,$H13)="","",INDEX('Time Entries'!J:J,$H13)))</f>
        <v/>
      </c>
      <c r="G13" s="18">
        <f>IF($H13="","",IF(INDEX('Time Entries'!G:G,$H13)="","",INDEX('Time Entries'!K:K,$H13)))</f>
        <v/>
      </c>
      <c r="H13">
        <f>IF(AND($I$4&gt;=ROW()-3,$H$4&lt;&gt;""),$H$4+ROW()-4,"")</f>
        <v/>
      </c>
    </row>
    <row r="14">
      <c r="A14" s="16">
        <f>IF($H14="","",IF(INDEX('Time Entries'!G:G,$H14)="","",INDEX('Time Entries'!G:G,$H14)&amp;" - "&amp;INDEX('Time Entries'!H:H,$H14)))</f>
        <v/>
      </c>
      <c r="B14" s="16">
        <f>IF($H14="","",IF(INDEX('Time Entries'!G:G,$H14)="","",INDEX('Time Entries'!M:M,$H14)))</f>
        <v/>
      </c>
      <c r="C14" s="16">
        <f>IF($H14="","",IF(INDEX('Time Entries'!G:G,$H14)="","",INDEX('Time Entries'!N:N,$H14)))</f>
        <v/>
      </c>
      <c r="D14" s="16">
        <f>IF($H14="","",IF(INDEX('Time Entries'!G:G,$H14)="","",INDEX('Time Entries'!F:F,$H14)))</f>
        <v/>
      </c>
      <c r="E14" s="16">
        <f>IF($H14="","",IF(INDEX('Time Entries'!G:G,$H14)="","",INDEX('Time Entries'!G:G,$H14)))</f>
        <v/>
      </c>
      <c r="F14" s="17">
        <f>IF($H14="","",IF(INDEX('Time Entries'!G:G,$H14)="","",INDEX('Time Entries'!J:J,$H14)))</f>
        <v/>
      </c>
      <c r="G14" s="18">
        <f>IF($H14="","",IF(INDEX('Time Entries'!G:G,$H14)="","",INDEX('Time Entries'!K:K,$H14)))</f>
        <v/>
      </c>
      <c r="H14">
        <f>IF(AND($I$4&gt;=ROW()-3,$H$4&lt;&gt;""),$H$4+ROW()-4,"")</f>
        <v/>
      </c>
    </row>
    <row r="15">
      <c r="A15" s="16">
        <f>IF($H15="","",IF(INDEX('Time Entries'!G:G,$H15)="","",INDEX('Time Entries'!G:G,$H15)&amp;" - "&amp;INDEX('Time Entries'!H:H,$H15)))</f>
        <v/>
      </c>
      <c r="B15" s="16">
        <f>IF($H15="","",IF(INDEX('Time Entries'!G:G,$H15)="","",INDEX('Time Entries'!M:M,$H15)))</f>
        <v/>
      </c>
      <c r="C15" s="16">
        <f>IF($H15="","",IF(INDEX('Time Entries'!G:G,$H15)="","",INDEX('Time Entries'!N:N,$H15)))</f>
        <v/>
      </c>
      <c r="D15" s="16">
        <f>IF($H15="","",IF(INDEX('Time Entries'!G:G,$H15)="","",INDEX('Time Entries'!F:F,$H15)))</f>
        <v/>
      </c>
      <c r="E15" s="16">
        <f>IF($H15="","",IF(INDEX('Time Entries'!G:G,$H15)="","",INDEX('Time Entries'!G:G,$H15)))</f>
        <v/>
      </c>
      <c r="F15" s="17">
        <f>IF($H15="","",IF(INDEX('Time Entries'!G:G,$H15)="","",INDEX('Time Entries'!J:J,$H15)))</f>
        <v/>
      </c>
      <c r="G15" s="18">
        <f>IF($H15="","",IF(INDEX('Time Entries'!G:G,$H15)="","",INDEX('Time Entries'!K:K,$H15)))</f>
        <v/>
      </c>
      <c r="H15">
        <f>IF(AND($I$4&gt;=ROW()-3,$H$4&lt;&gt;""),$H$4+ROW()-4,"")</f>
        <v/>
      </c>
    </row>
    <row r="16">
      <c r="A16" s="16">
        <f>IF($H16="","",IF(INDEX('Time Entries'!G:G,$H16)="","",INDEX('Time Entries'!G:G,$H16)&amp;" - "&amp;INDEX('Time Entries'!H:H,$H16)))</f>
        <v/>
      </c>
      <c r="B16" s="16">
        <f>IF($H16="","",IF(INDEX('Time Entries'!G:G,$H16)="","",INDEX('Time Entries'!M:M,$H16)))</f>
        <v/>
      </c>
      <c r="C16" s="16">
        <f>IF($H16="","",IF(INDEX('Time Entries'!G:G,$H16)="","",INDEX('Time Entries'!N:N,$H16)))</f>
        <v/>
      </c>
      <c r="D16" s="16">
        <f>IF($H16="","",IF(INDEX('Time Entries'!G:G,$H16)="","",INDEX('Time Entries'!F:F,$H16)))</f>
        <v/>
      </c>
      <c r="E16" s="16">
        <f>IF($H16="","",IF(INDEX('Time Entries'!G:G,$H16)="","",INDEX('Time Entries'!G:G,$H16)))</f>
        <v/>
      </c>
      <c r="F16" s="17">
        <f>IF($H16="","",IF(INDEX('Time Entries'!G:G,$H16)="","",INDEX('Time Entries'!J:J,$H16)))</f>
        <v/>
      </c>
      <c r="G16" s="18">
        <f>IF($H16="","",IF(INDEX('Time Entries'!G:G,$H16)="","",INDEX('Time Entries'!K:K,$H16)))</f>
        <v/>
      </c>
      <c r="H16">
        <f>IF(AND($I$4&gt;=ROW()-3,$H$4&lt;&gt;""),$H$4+ROW()-4,"")</f>
        <v/>
      </c>
    </row>
    <row r="17">
      <c r="A17" s="16">
        <f>IF($H17="","",IF(INDEX('Time Entries'!G:G,$H17)="","",INDEX('Time Entries'!G:G,$H17)&amp;" - "&amp;INDEX('Time Entries'!H:H,$H17)))</f>
        <v/>
      </c>
      <c r="B17" s="16">
        <f>IF($H17="","",IF(INDEX('Time Entries'!G:G,$H17)="","",INDEX('Time Entries'!M:M,$H17)))</f>
        <v/>
      </c>
      <c r="C17" s="16">
        <f>IF($H17="","",IF(INDEX('Time Entries'!G:G,$H17)="","",INDEX('Time Entries'!N:N,$H17)))</f>
        <v/>
      </c>
      <c r="D17" s="16">
        <f>IF($H17="","",IF(INDEX('Time Entries'!G:G,$H17)="","",INDEX('Time Entries'!F:F,$H17)))</f>
        <v/>
      </c>
      <c r="E17" s="16">
        <f>IF($H17="","",IF(INDEX('Time Entries'!G:G,$H17)="","",INDEX('Time Entries'!G:G,$H17)))</f>
        <v/>
      </c>
      <c r="F17" s="17">
        <f>IF($H17="","",IF(INDEX('Time Entries'!G:G,$H17)="","",INDEX('Time Entries'!J:J,$H17)))</f>
        <v/>
      </c>
      <c r="G17" s="18">
        <f>IF($H17="","",IF(INDEX('Time Entries'!G:G,$H17)="","",INDEX('Time Entries'!K:K,$H17)))</f>
        <v/>
      </c>
      <c r="H17">
        <f>IF(AND($I$4&gt;=ROW()-3,$H$4&lt;&gt;""),$H$4+ROW()-4,"")</f>
        <v/>
      </c>
    </row>
    <row r="18">
      <c r="A18" s="16">
        <f>IF($H18="","",IF(INDEX('Time Entries'!G:G,$H18)="","",INDEX('Time Entries'!G:G,$H18)&amp;" - "&amp;INDEX('Time Entries'!H:H,$H18)))</f>
        <v/>
      </c>
      <c r="B18" s="16">
        <f>IF($H18="","",IF(INDEX('Time Entries'!G:G,$H18)="","",INDEX('Time Entries'!M:M,$H18)))</f>
        <v/>
      </c>
      <c r="C18" s="16">
        <f>IF($H18="","",IF(INDEX('Time Entries'!G:G,$H18)="","",INDEX('Time Entries'!N:N,$H18)))</f>
        <v/>
      </c>
      <c r="D18" s="16">
        <f>IF($H18="","",IF(INDEX('Time Entries'!G:G,$H18)="","",INDEX('Time Entries'!F:F,$H18)))</f>
        <v/>
      </c>
      <c r="E18" s="16">
        <f>IF($H18="","",IF(INDEX('Time Entries'!G:G,$H18)="","",INDEX('Time Entries'!G:G,$H18)))</f>
        <v/>
      </c>
      <c r="F18" s="17">
        <f>IF($H18="","",IF(INDEX('Time Entries'!G:G,$H18)="","",INDEX('Time Entries'!J:J,$H18)))</f>
        <v/>
      </c>
      <c r="G18" s="18">
        <f>IF($H18="","",IF(INDEX('Time Entries'!G:G,$H18)="","",INDEX('Time Entries'!K:K,$H18)))</f>
        <v/>
      </c>
      <c r="H18">
        <f>IF(AND($I$4&gt;=ROW()-3,$H$4&lt;&gt;""),$H$4+ROW()-4,"")</f>
        <v/>
      </c>
    </row>
    <row r="19">
      <c r="A19" s="16">
        <f>IF($H19="","",IF(INDEX('Time Entries'!G:G,$H19)="","",INDEX('Time Entries'!G:G,$H19)&amp;" - "&amp;INDEX('Time Entries'!H:H,$H19)))</f>
        <v/>
      </c>
      <c r="B19" s="16">
        <f>IF($H19="","",IF(INDEX('Time Entries'!G:G,$H19)="","",INDEX('Time Entries'!M:M,$H19)))</f>
        <v/>
      </c>
      <c r="C19" s="16">
        <f>IF($H19="","",IF(INDEX('Time Entries'!G:G,$H19)="","",INDEX('Time Entries'!N:N,$H19)))</f>
        <v/>
      </c>
      <c r="D19" s="16">
        <f>IF($H19="","",IF(INDEX('Time Entries'!G:G,$H19)="","",INDEX('Time Entries'!F:F,$H19)))</f>
        <v/>
      </c>
      <c r="E19" s="16">
        <f>IF($H19="","",IF(INDEX('Time Entries'!G:G,$H19)="","",INDEX('Time Entries'!G:G,$H19)))</f>
        <v/>
      </c>
      <c r="F19" s="17">
        <f>IF($H19="","",IF(INDEX('Time Entries'!G:G,$H19)="","",INDEX('Time Entries'!J:J,$H19)))</f>
        <v/>
      </c>
      <c r="G19" s="18">
        <f>IF($H19="","",IF(INDEX('Time Entries'!G:G,$H19)="","",INDEX('Time Entries'!K:K,$H19)))</f>
        <v/>
      </c>
      <c r="H19">
        <f>IF(AND($I$4&gt;=ROW()-3,$H$4&lt;&gt;""),$H$4+ROW()-4,"")</f>
        <v/>
      </c>
    </row>
    <row r="20">
      <c r="A20" s="16">
        <f>IF($H20="","",IF(INDEX('Time Entries'!G:G,$H20)="","",INDEX('Time Entries'!G:G,$H20)&amp;" - "&amp;INDEX('Time Entries'!H:H,$H20)))</f>
        <v/>
      </c>
      <c r="B20" s="16">
        <f>IF($H20="","",IF(INDEX('Time Entries'!G:G,$H20)="","",INDEX('Time Entries'!M:M,$H20)))</f>
        <v/>
      </c>
      <c r="C20" s="16">
        <f>IF($H20="","",IF(INDEX('Time Entries'!G:G,$H20)="","",INDEX('Time Entries'!N:N,$H20)))</f>
        <v/>
      </c>
      <c r="D20" s="16">
        <f>IF($H20="","",IF(INDEX('Time Entries'!G:G,$H20)="","",INDEX('Time Entries'!F:F,$H20)))</f>
        <v/>
      </c>
      <c r="E20" s="16">
        <f>IF($H20="","",IF(INDEX('Time Entries'!G:G,$H20)="","",INDEX('Time Entries'!G:G,$H20)))</f>
        <v/>
      </c>
      <c r="F20" s="17">
        <f>IF($H20="","",IF(INDEX('Time Entries'!G:G,$H20)="","",INDEX('Time Entries'!J:J,$H20)))</f>
        <v/>
      </c>
      <c r="G20" s="18">
        <f>IF($H20="","",IF(INDEX('Time Entries'!G:G,$H20)="","",INDEX('Time Entries'!K:K,$H20)))</f>
        <v/>
      </c>
      <c r="H20">
        <f>IF(AND($I$4&gt;=ROW()-3,$H$4&lt;&gt;""),$H$4+ROW()-4,"")</f>
        <v/>
      </c>
    </row>
    <row r="21">
      <c r="A21" s="16">
        <f>IF($H21="","",IF(INDEX('Time Entries'!G:G,$H21)="","",INDEX('Time Entries'!G:G,$H21)&amp;" - "&amp;INDEX('Time Entries'!H:H,$H21)))</f>
        <v/>
      </c>
      <c r="B21" s="16">
        <f>IF($H21="","",IF(INDEX('Time Entries'!G:G,$H21)="","",INDEX('Time Entries'!M:M,$H21)))</f>
        <v/>
      </c>
      <c r="C21" s="16">
        <f>IF($H21="","",IF(INDEX('Time Entries'!G:G,$H21)="","",INDEX('Time Entries'!N:N,$H21)))</f>
        <v/>
      </c>
      <c r="D21" s="16">
        <f>IF($H21="","",IF(INDEX('Time Entries'!G:G,$H21)="","",INDEX('Time Entries'!F:F,$H21)))</f>
        <v/>
      </c>
      <c r="E21" s="16">
        <f>IF($H21="","",IF(INDEX('Time Entries'!G:G,$H21)="","",INDEX('Time Entries'!G:G,$H21)))</f>
        <v/>
      </c>
      <c r="F21" s="17">
        <f>IF($H21="","",IF(INDEX('Time Entries'!G:G,$H21)="","",INDEX('Time Entries'!J:J,$H21)))</f>
        <v/>
      </c>
      <c r="G21" s="18">
        <f>IF($H21="","",IF(INDEX('Time Entries'!G:G,$H21)="","",INDEX('Time Entries'!K:K,$H21)))</f>
        <v/>
      </c>
      <c r="H21">
        <f>IF(AND($I$4&gt;=ROW()-3,$H$4&lt;&gt;""),$H$4+ROW()-4,"")</f>
        <v/>
      </c>
    </row>
    <row r="22">
      <c r="A22" s="16">
        <f>IF($H22="","",IF(INDEX('Time Entries'!G:G,$H22)="","",INDEX('Time Entries'!G:G,$H22)&amp;" - "&amp;INDEX('Time Entries'!H:H,$H22)))</f>
        <v/>
      </c>
      <c r="B22" s="16">
        <f>IF($H22="","",IF(INDEX('Time Entries'!G:G,$H22)="","",INDEX('Time Entries'!M:M,$H22)))</f>
        <v/>
      </c>
      <c r="C22" s="16">
        <f>IF($H22="","",IF(INDEX('Time Entries'!G:G,$H22)="","",INDEX('Time Entries'!N:N,$H22)))</f>
        <v/>
      </c>
      <c r="D22" s="16">
        <f>IF($H22="","",IF(INDEX('Time Entries'!G:G,$H22)="","",INDEX('Time Entries'!F:F,$H22)))</f>
        <v/>
      </c>
      <c r="E22" s="16">
        <f>IF($H22="","",IF(INDEX('Time Entries'!G:G,$H22)="","",INDEX('Time Entries'!G:G,$H22)))</f>
        <v/>
      </c>
      <c r="F22" s="17">
        <f>IF($H22="","",IF(INDEX('Time Entries'!G:G,$H22)="","",INDEX('Time Entries'!J:J,$H22)))</f>
        <v/>
      </c>
      <c r="G22" s="18">
        <f>IF($H22="","",IF(INDEX('Time Entries'!G:G,$H22)="","",INDEX('Time Entries'!K:K,$H22)))</f>
        <v/>
      </c>
      <c r="H22">
        <f>IF(AND($I$4&gt;=ROW()-3,$H$4&lt;&gt;""),$H$4+ROW()-4,"")</f>
        <v/>
      </c>
    </row>
    <row r="23">
      <c r="A23" s="16">
        <f>IF($H23="","",IF(INDEX('Time Entries'!G:G,$H23)="","",INDEX('Time Entries'!G:G,$H23)&amp;" - "&amp;INDEX('Time Entries'!H:H,$H23)))</f>
        <v/>
      </c>
      <c r="B23" s="16">
        <f>IF($H23="","",IF(INDEX('Time Entries'!G:G,$H23)="","",INDEX('Time Entries'!M:M,$H23)))</f>
        <v/>
      </c>
      <c r="C23" s="16">
        <f>IF($H23="","",IF(INDEX('Time Entries'!G:G,$H23)="","",INDEX('Time Entries'!N:N,$H23)))</f>
        <v/>
      </c>
      <c r="D23" s="16">
        <f>IF($H23="","",IF(INDEX('Time Entries'!G:G,$H23)="","",INDEX('Time Entries'!F:F,$H23)))</f>
        <v/>
      </c>
      <c r="E23" s="16">
        <f>IF($H23="","",IF(INDEX('Time Entries'!G:G,$H23)="","",INDEX('Time Entries'!G:G,$H23)))</f>
        <v/>
      </c>
      <c r="F23" s="17">
        <f>IF($H23="","",IF(INDEX('Time Entries'!G:G,$H23)="","",INDEX('Time Entries'!J:J,$H23)))</f>
        <v/>
      </c>
      <c r="G23" s="18">
        <f>IF($H23="","",IF(INDEX('Time Entries'!G:G,$H23)="","",INDEX('Time Entries'!K:K,$H23)))</f>
        <v/>
      </c>
      <c r="H23">
        <f>IF(AND($I$4&gt;=ROW()-3,$H$4&lt;&gt;""),$H$4+ROW()-4,"")</f>
        <v/>
      </c>
    </row>
    <row r="24">
      <c r="A24" s="16">
        <f>IF($H24="","",IF(INDEX('Time Entries'!G:G,$H24)="","",INDEX('Time Entries'!G:G,$H24)&amp;" - "&amp;INDEX('Time Entries'!H:H,$H24)))</f>
        <v/>
      </c>
      <c r="B24" s="16">
        <f>IF($H24="","",IF(INDEX('Time Entries'!G:G,$H24)="","",INDEX('Time Entries'!M:M,$H24)))</f>
        <v/>
      </c>
      <c r="C24" s="16">
        <f>IF($H24="","",IF(INDEX('Time Entries'!G:G,$H24)="","",INDEX('Time Entries'!N:N,$H24)))</f>
        <v/>
      </c>
      <c r="D24" s="16">
        <f>IF($H24="","",IF(INDEX('Time Entries'!G:G,$H24)="","",INDEX('Time Entries'!F:F,$H24)))</f>
        <v/>
      </c>
      <c r="E24" s="16">
        <f>IF($H24="","",IF(INDEX('Time Entries'!G:G,$H24)="","",INDEX('Time Entries'!G:G,$H24)))</f>
        <v/>
      </c>
      <c r="F24" s="17">
        <f>IF($H24="","",IF(INDEX('Time Entries'!G:G,$H24)="","",INDEX('Time Entries'!J:J,$H24)))</f>
        <v/>
      </c>
      <c r="G24" s="18">
        <f>IF($H24="","",IF(INDEX('Time Entries'!G:G,$H24)="","",INDEX('Time Entries'!K:K,$H24)))</f>
        <v/>
      </c>
      <c r="H24">
        <f>IF(AND($I$4&gt;=ROW()-3,$H$4&lt;&gt;""),$H$4+ROW()-4,"")</f>
        <v/>
      </c>
    </row>
    <row r="25">
      <c r="A25" s="16">
        <f>IF($H25="","",IF(INDEX('Time Entries'!G:G,$H25)="","",INDEX('Time Entries'!G:G,$H25)&amp;" - "&amp;INDEX('Time Entries'!H:H,$H25)))</f>
        <v/>
      </c>
      <c r="B25" s="16">
        <f>IF($H25="","",IF(INDEX('Time Entries'!G:G,$H25)="","",INDEX('Time Entries'!M:M,$H25)))</f>
        <v/>
      </c>
      <c r="C25" s="16">
        <f>IF($H25="","",IF(INDEX('Time Entries'!G:G,$H25)="","",INDEX('Time Entries'!N:N,$H25)))</f>
        <v/>
      </c>
      <c r="D25" s="16">
        <f>IF($H25="","",IF(INDEX('Time Entries'!G:G,$H25)="","",INDEX('Time Entries'!F:F,$H25)))</f>
        <v/>
      </c>
      <c r="E25" s="16">
        <f>IF($H25="","",IF(INDEX('Time Entries'!G:G,$H25)="","",INDEX('Time Entries'!G:G,$H25)))</f>
        <v/>
      </c>
      <c r="F25" s="17">
        <f>IF($H25="","",IF(INDEX('Time Entries'!G:G,$H25)="","",INDEX('Time Entries'!J:J,$H25)))</f>
        <v/>
      </c>
      <c r="G25" s="18">
        <f>IF($H25="","",IF(INDEX('Time Entries'!G:G,$H25)="","",INDEX('Time Entries'!K:K,$H25)))</f>
        <v/>
      </c>
      <c r="H25">
        <f>IF(AND($I$4&gt;=ROW()-3,$H$4&lt;&gt;""),$H$4+ROW()-4,"")</f>
        <v/>
      </c>
    </row>
    <row r="26">
      <c r="A26" s="16">
        <f>IF($H26="","",IF(INDEX('Time Entries'!G:G,$H26)="","",INDEX('Time Entries'!G:G,$H26)&amp;" - "&amp;INDEX('Time Entries'!H:H,$H26)))</f>
        <v/>
      </c>
      <c r="B26" s="16">
        <f>IF($H26="","",IF(INDEX('Time Entries'!G:G,$H26)="","",INDEX('Time Entries'!M:M,$H26)))</f>
        <v/>
      </c>
      <c r="C26" s="16">
        <f>IF($H26="","",IF(INDEX('Time Entries'!G:G,$H26)="","",INDEX('Time Entries'!N:N,$H26)))</f>
        <v/>
      </c>
      <c r="D26" s="16">
        <f>IF($H26="","",IF(INDEX('Time Entries'!G:G,$H26)="","",INDEX('Time Entries'!F:F,$H26)))</f>
        <v/>
      </c>
      <c r="E26" s="16">
        <f>IF($H26="","",IF(INDEX('Time Entries'!G:G,$H26)="","",INDEX('Time Entries'!G:G,$H26)))</f>
        <v/>
      </c>
      <c r="F26" s="17">
        <f>IF($H26="","",IF(INDEX('Time Entries'!G:G,$H26)="","",INDEX('Time Entries'!J:J,$H26)))</f>
        <v/>
      </c>
      <c r="G26" s="18">
        <f>IF($H26="","",IF(INDEX('Time Entries'!G:G,$H26)="","",INDEX('Time Entries'!K:K,$H26)))</f>
        <v/>
      </c>
      <c r="H26">
        <f>IF(AND($I$4&gt;=ROW()-3,$H$4&lt;&gt;""),$H$4+ROW()-4,"")</f>
        <v/>
      </c>
    </row>
    <row r="27">
      <c r="A27" s="16">
        <f>IF($H27="","",IF(INDEX('Time Entries'!G:G,$H27)="","",INDEX('Time Entries'!G:G,$H27)&amp;" - "&amp;INDEX('Time Entries'!H:H,$H27)))</f>
        <v/>
      </c>
      <c r="B27" s="16">
        <f>IF($H27="","",IF(INDEX('Time Entries'!G:G,$H27)="","",INDEX('Time Entries'!M:M,$H27)))</f>
        <v/>
      </c>
      <c r="C27" s="16">
        <f>IF($H27="","",IF(INDEX('Time Entries'!G:G,$H27)="","",INDEX('Time Entries'!N:N,$H27)))</f>
        <v/>
      </c>
      <c r="D27" s="16">
        <f>IF($H27="","",IF(INDEX('Time Entries'!G:G,$H27)="","",INDEX('Time Entries'!F:F,$H27)))</f>
        <v/>
      </c>
      <c r="E27" s="16">
        <f>IF($H27="","",IF(INDEX('Time Entries'!G:G,$H27)="","",INDEX('Time Entries'!G:G,$H27)))</f>
        <v/>
      </c>
      <c r="F27" s="17">
        <f>IF($H27="","",IF(INDEX('Time Entries'!G:G,$H27)="","",INDEX('Time Entries'!J:J,$H27)))</f>
        <v/>
      </c>
      <c r="G27" s="18">
        <f>IF($H27="","",IF(INDEX('Time Entries'!G:G,$H27)="","",INDEX('Time Entries'!K:K,$H27)))</f>
        <v/>
      </c>
      <c r="H27">
        <f>IF(AND($I$4&gt;=ROW()-3,$H$4&lt;&gt;""),$H$4+ROW()-4,"")</f>
        <v/>
      </c>
    </row>
    <row r="28">
      <c r="A28" s="16">
        <f>IF($H28="","",IF(INDEX('Time Entries'!G:G,$H28)="","",INDEX('Time Entries'!G:G,$H28)&amp;" - "&amp;INDEX('Time Entries'!H:H,$H28)))</f>
        <v/>
      </c>
      <c r="B28" s="16">
        <f>IF($H28="","",IF(INDEX('Time Entries'!G:G,$H28)="","",INDEX('Time Entries'!M:M,$H28)))</f>
        <v/>
      </c>
      <c r="C28" s="16">
        <f>IF($H28="","",IF(INDEX('Time Entries'!G:G,$H28)="","",INDEX('Time Entries'!N:N,$H28)))</f>
        <v/>
      </c>
      <c r="D28" s="16">
        <f>IF($H28="","",IF(INDEX('Time Entries'!G:G,$H28)="","",INDEX('Time Entries'!F:F,$H28)))</f>
        <v/>
      </c>
      <c r="E28" s="16">
        <f>IF($H28="","",IF(INDEX('Time Entries'!G:G,$H28)="","",INDEX('Time Entries'!G:G,$H28)))</f>
        <v/>
      </c>
      <c r="F28" s="17">
        <f>IF($H28="","",IF(INDEX('Time Entries'!G:G,$H28)="","",INDEX('Time Entries'!J:J,$H28)))</f>
        <v/>
      </c>
      <c r="G28" s="18">
        <f>IF($H28="","",IF(INDEX('Time Entries'!G:G,$H28)="","",INDEX('Time Entries'!K:K,$H28)))</f>
        <v/>
      </c>
      <c r="H28">
        <f>IF(AND($I$4&gt;=ROW()-3,$H$4&lt;&gt;""),$H$4+ROW()-4,"")</f>
        <v/>
      </c>
    </row>
    <row r="29">
      <c r="A29" s="16">
        <f>IF($H29="","",IF(INDEX('Time Entries'!G:G,$H29)="","",INDEX('Time Entries'!G:G,$H29)&amp;" - "&amp;INDEX('Time Entries'!H:H,$H29)))</f>
        <v/>
      </c>
      <c r="B29" s="16">
        <f>IF($H29="","",IF(INDEX('Time Entries'!G:G,$H29)="","",INDEX('Time Entries'!M:M,$H29)))</f>
        <v/>
      </c>
      <c r="C29" s="16">
        <f>IF($H29="","",IF(INDEX('Time Entries'!G:G,$H29)="","",INDEX('Time Entries'!N:N,$H29)))</f>
        <v/>
      </c>
      <c r="D29" s="16">
        <f>IF($H29="","",IF(INDEX('Time Entries'!G:G,$H29)="","",INDEX('Time Entries'!F:F,$H29)))</f>
        <v/>
      </c>
      <c r="E29" s="16">
        <f>IF($H29="","",IF(INDEX('Time Entries'!G:G,$H29)="","",INDEX('Time Entries'!G:G,$H29)))</f>
        <v/>
      </c>
      <c r="F29" s="17">
        <f>IF($H29="","",IF(INDEX('Time Entries'!G:G,$H29)="","",INDEX('Time Entries'!J:J,$H29)))</f>
        <v/>
      </c>
      <c r="G29" s="18">
        <f>IF($H29="","",IF(INDEX('Time Entries'!G:G,$H29)="","",INDEX('Time Entries'!K:K,$H29)))</f>
        <v/>
      </c>
      <c r="H29">
        <f>IF(AND($I$4&gt;=ROW()-3,$H$4&lt;&gt;""),$H$4+ROW()-4,"")</f>
        <v/>
      </c>
    </row>
    <row r="30">
      <c r="A30" s="16">
        <f>IF($H30="","",IF(INDEX('Time Entries'!G:G,$H30)="","",INDEX('Time Entries'!G:G,$H30)&amp;" - "&amp;INDEX('Time Entries'!H:H,$H30)))</f>
        <v/>
      </c>
      <c r="B30" s="16">
        <f>IF($H30="","",IF(INDEX('Time Entries'!G:G,$H30)="","",INDEX('Time Entries'!M:M,$H30)))</f>
        <v/>
      </c>
      <c r="C30" s="16">
        <f>IF($H30="","",IF(INDEX('Time Entries'!G:G,$H30)="","",INDEX('Time Entries'!N:N,$H30)))</f>
        <v/>
      </c>
      <c r="D30" s="16">
        <f>IF($H30="","",IF(INDEX('Time Entries'!G:G,$H30)="","",INDEX('Time Entries'!F:F,$H30)))</f>
        <v/>
      </c>
      <c r="E30" s="16">
        <f>IF($H30="","",IF(INDEX('Time Entries'!G:G,$H30)="","",INDEX('Time Entries'!G:G,$H30)))</f>
        <v/>
      </c>
      <c r="F30" s="17">
        <f>IF($H30="","",IF(INDEX('Time Entries'!G:G,$H30)="","",INDEX('Time Entries'!J:J,$H30)))</f>
        <v/>
      </c>
      <c r="G30" s="18">
        <f>IF($H30="","",IF(INDEX('Time Entries'!G:G,$H30)="","",INDEX('Time Entries'!K:K,$H30)))</f>
        <v/>
      </c>
      <c r="H30">
        <f>IF(AND($I$4&gt;=ROW()-3,$H$4&lt;&gt;""),$H$4+ROW()-4,"")</f>
        <v/>
      </c>
    </row>
    <row r="31">
      <c r="A31" s="16">
        <f>IF($H31="","",IF(INDEX('Time Entries'!G:G,$H31)="","",INDEX('Time Entries'!G:G,$H31)&amp;" - "&amp;INDEX('Time Entries'!H:H,$H31)))</f>
        <v/>
      </c>
      <c r="B31" s="16">
        <f>IF($H31="","",IF(INDEX('Time Entries'!G:G,$H31)="","",INDEX('Time Entries'!M:M,$H31)))</f>
        <v/>
      </c>
      <c r="C31" s="16">
        <f>IF($H31="","",IF(INDEX('Time Entries'!G:G,$H31)="","",INDEX('Time Entries'!N:N,$H31)))</f>
        <v/>
      </c>
      <c r="D31" s="16">
        <f>IF($H31="","",IF(INDEX('Time Entries'!G:G,$H31)="","",INDEX('Time Entries'!F:F,$H31)))</f>
        <v/>
      </c>
      <c r="E31" s="16">
        <f>IF($H31="","",IF(INDEX('Time Entries'!G:G,$H31)="","",INDEX('Time Entries'!G:G,$H31)))</f>
        <v/>
      </c>
      <c r="F31" s="17">
        <f>IF($H31="","",IF(INDEX('Time Entries'!G:G,$H31)="","",INDEX('Time Entries'!J:J,$H31)))</f>
        <v/>
      </c>
      <c r="G31" s="18">
        <f>IF($H31="","",IF(INDEX('Time Entries'!G:G,$H31)="","",INDEX('Time Entries'!K:K,$H31)))</f>
        <v/>
      </c>
      <c r="H31">
        <f>IF(AND($I$4&gt;=ROW()-3,$H$4&lt;&gt;""),$H$4+ROW()-4,"")</f>
        <v/>
      </c>
    </row>
    <row r="32">
      <c r="A32" s="16">
        <f>IF($H32="","",IF(INDEX('Time Entries'!G:G,$H32)="","",INDEX('Time Entries'!G:G,$H32)&amp;" - "&amp;INDEX('Time Entries'!H:H,$H32)))</f>
        <v/>
      </c>
      <c r="B32" s="16">
        <f>IF($H32="","",IF(INDEX('Time Entries'!G:G,$H32)="","",INDEX('Time Entries'!M:M,$H32)))</f>
        <v/>
      </c>
      <c r="C32" s="16">
        <f>IF($H32="","",IF(INDEX('Time Entries'!G:G,$H32)="","",INDEX('Time Entries'!N:N,$H32)))</f>
        <v/>
      </c>
      <c r="D32" s="16">
        <f>IF($H32="","",IF(INDEX('Time Entries'!G:G,$H32)="","",INDEX('Time Entries'!F:F,$H32)))</f>
        <v/>
      </c>
      <c r="E32" s="16">
        <f>IF($H32="","",IF(INDEX('Time Entries'!G:G,$H32)="","",INDEX('Time Entries'!G:G,$H32)))</f>
        <v/>
      </c>
      <c r="F32" s="17">
        <f>IF($H32="","",IF(INDEX('Time Entries'!G:G,$H32)="","",INDEX('Time Entries'!J:J,$H32)))</f>
        <v/>
      </c>
      <c r="G32" s="18">
        <f>IF($H32="","",IF(INDEX('Time Entries'!G:G,$H32)="","",INDEX('Time Entries'!K:K,$H32)))</f>
        <v/>
      </c>
      <c r="H32">
        <f>IF(AND($I$4&gt;=ROW()-3,$H$4&lt;&gt;""),$H$4+ROW()-4,"")</f>
        <v/>
      </c>
    </row>
    <row r="33">
      <c r="A33" s="16">
        <f>IF($H33="","",IF(INDEX('Time Entries'!G:G,$H33)="","",INDEX('Time Entries'!G:G,$H33)&amp;" - "&amp;INDEX('Time Entries'!H:H,$H33)))</f>
        <v/>
      </c>
      <c r="B33" s="16">
        <f>IF($H33="","",IF(INDEX('Time Entries'!G:G,$H33)="","",INDEX('Time Entries'!M:M,$H33)))</f>
        <v/>
      </c>
      <c r="C33" s="16">
        <f>IF($H33="","",IF(INDEX('Time Entries'!G:G,$H33)="","",INDEX('Time Entries'!N:N,$H33)))</f>
        <v/>
      </c>
      <c r="D33" s="16">
        <f>IF($H33="","",IF(INDEX('Time Entries'!G:G,$H33)="","",INDEX('Time Entries'!F:F,$H33)))</f>
        <v/>
      </c>
      <c r="E33" s="16">
        <f>IF($H33="","",IF(INDEX('Time Entries'!G:G,$H33)="","",INDEX('Time Entries'!G:G,$H33)))</f>
        <v/>
      </c>
      <c r="F33" s="17">
        <f>IF($H33="","",IF(INDEX('Time Entries'!G:G,$H33)="","",INDEX('Time Entries'!J:J,$H33)))</f>
        <v/>
      </c>
      <c r="G33" s="18">
        <f>IF($H33="","",IF(INDEX('Time Entries'!G:G,$H33)="","",INDEX('Time Entries'!K:K,$H33)))</f>
        <v/>
      </c>
      <c r="H33">
        <f>IF(AND($I$4&gt;=ROW()-3,$H$4&lt;&gt;""),$H$4+ROW()-4,"")</f>
        <v/>
      </c>
    </row>
    <row r="34">
      <c r="A34" s="16">
        <f>IF($H34="","",IF(INDEX('Time Entries'!G:G,$H34)="","",INDEX('Time Entries'!G:G,$H34)&amp;" - "&amp;INDEX('Time Entries'!H:H,$H34)))</f>
        <v/>
      </c>
      <c r="B34" s="16">
        <f>IF($H34="","",IF(INDEX('Time Entries'!G:G,$H34)="","",INDEX('Time Entries'!M:M,$H34)))</f>
        <v/>
      </c>
      <c r="C34" s="16">
        <f>IF($H34="","",IF(INDEX('Time Entries'!G:G,$H34)="","",INDEX('Time Entries'!N:N,$H34)))</f>
        <v/>
      </c>
      <c r="D34" s="16">
        <f>IF($H34="","",IF(INDEX('Time Entries'!G:G,$H34)="","",INDEX('Time Entries'!F:F,$H34)))</f>
        <v/>
      </c>
      <c r="E34" s="16">
        <f>IF($H34="","",IF(INDEX('Time Entries'!G:G,$H34)="","",INDEX('Time Entries'!G:G,$H34)))</f>
        <v/>
      </c>
      <c r="F34" s="17">
        <f>IF($H34="","",IF(INDEX('Time Entries'!G:G,$H34)="","",INDEX('Time Entries'!J:J,$H34)))</f>
        <v/>
      </c>
      <c r="G34" s="18">
        <f>IF($H34="","",IF(INDEX('Time Entries'!G:G,$H34)="","",INDEX('Time Entries'!K:K,$H34)))</f>
        <v/>
      </c>
      <c r="H34">
        <f>IF(AND($I$4&gt;=ROW()-3,$H$4&lt;&gt;""),$H$4+ROW()-4,"")</f>
        <v/>
      </c>
    </row>
    <row r="35">
      <c r="A35" s="16">
        <f>IF($H35="","",IF(INDEX('Time Entries'!G:G,$H35)="","",INDEX('Time Entries'!G:G,$H35)&amp;" - "&amp;INDEX('Time Entries'!H:H,$H35)))</f>
        <v/>
      </c>
      <c r="B35" s="16">
        <f>IF($H35="","",IF(INDEX('Time Entries'!G:G,$H35)="","",INDEX('Time Entries'!M:M,$H35)))</f>
        <v/>
      </c>
      <c r="C35" s="16">
        <f>IF($H35="","",IF(INDEX('Time Entries'!G:G,$H35)="","",INDEX('Time Entries'!N:N,$H35)))</f>
        <v/>
      </c>
      <c r="D35" s="16">
        <f>IF($H35="","",IF(INDEX('Time Entries'!G:G,$H35)="","",INDEX('Time Entries'!F:F,$H35)))</f>
        <v/>
      </c>
      <c r="E35" s="16">
        <f>IF($H35="","",IF(INDEX('Time Entries'!G:G,$H35)="","",INDEX('Time Entries'!G:G,$H35)))</f>
        <v/>
      </c>
      <c r="F35" s="17">
        <f>IF($H35="","",IF(INDEX('Time Entries'!G:G,$H35)="","",INDEX('Time Entries'!J:J,$H35)))</f>
        <v/>
      </c>
      <c r="G35" s="18">
        <f>IF($H35="","",IF(INDEX('Time Entries'!G:G,$H35)="","",INDEX('Time Entries'!K:K,$H35)))</f>
        <v/>
      </c>
      <c r="H35">
        <f>IF(AND($I$4&gt;=ROW()-3,$H$4&lt;&gt;""),$H$4+ROW()-4,"")</f>
        <v/>
      </c>
    </row>
    <row r="36">
      <c r="A36" s="16">
        <f>IF($H36="","",IF(INDEX('Time Entries'!G:G,$H36)="","",INDEX('Time Entries'!G:G,$H36)&amp;" - "&amp;INDEX('Time Entries'!H:H,$H36)))</f>
        <v/>
      </c>
      <c r="B36" s="16">
        <f>IF($H36="","",IF(INDEX('Time Entries'!G:G,$H36)="","",INDEX('Time Entries'!M:M,$H36)))</f>
        <v/>
      </c>
      <c r="C36" s="16">
        <f>IF($H36="","",IF(INDEX('Time Entries'!G:G,$H36)="","",INDEX('Time Entries'!N:N,$H36)))</f>
        <v/>
      </c>
      <c r="D36" s="16">
        <f>IF($H36="","",IF(INDEX('Time Entries'!G:G,$H36)="","",INDEX('Time Entries'!F:F,$H36)))</f>
        <v/>
      </c>
      <c r="E36" s="16">
        <f>IF($H36="","",IF(INDEX('Time Entries'!G:G,$H36)="","",INDEX('Time Entries'!G:G,$H36)))</f>
        <v/>
      </c>
      <c r="F36" s="17">
        <f>IF($H36="","",IF(INDEX('Time Entries'!G:G,$H36)="","",INDEX('Time Entries'!J:J,$H36)))</f>
        <v/>
      </c>
      <c r="G36" s="18">
        <f>IF($H36="","",IF(INDEX('Time Entries'!G:G,$H36)="","",INDEX('Time Entries'!K:K,$H36)))</f>
        <v/>
      </c>
      <c r="H36">
        <f>IF(AND($I$4&gt;=ROW()-3,$H$4&lt;&gt;""),$H$4+ROW()-4,"")</f>
        <v/>
      </c>
    </row>
    <row r="37">
      <c r="A37" s="16">
        <f>IF($H37="","",IF(INDEX('Time Entries'!G:G,$H37)="","",INDEX('Time Entries'!G:G,$H37)&amp;" - "&amp;INDEX('Time Entries'!H:H,$H37)))</f>
        <v/>
      </c>
      <c r="B37" s="16">
        <f>IF($H37="","",IF(INDEX('Time Entries'!G:G,$H37)="","",INDEX('Time Entries'!M:M,$H37)))</f>
        <v/>
      </c>
      <c r="C37" s="16">
        <f>IF($H37="","",IF(INDEX('Time Entries'!G:G,$H37)="","",INDEX('Time Entries'!N:N,$H37)))</f>
        <v/>
      </c>
      <c r="D37" s="16">
        <f>IF($H37="","",IF(INDEX('Time Entries'!G:G,$H37)="","",INDEX('Time Entries'!F:F,$H37)))</f>
        <v/>
      </c>
      <c r="E37" s="16">
        <f>IF($H37="","",IF(INDEX('Time Entries'!G:G,$H37)="","",INDEX('Time Entries'!G:G,$H37)))</f>
        <v/>
      </c>
      <c r="F37" s="17">
        <f>IF($H37="","",IF(INDEX('Time Entries'!G:G,$H37)="","",INDEX('Time Entries'!J:J,$H37)))</f>
        <v/>
      </c>
      <c r="G37" s="18">
        <f>IF($H37="","",IF(INDEX('Time Entries'!G:G,$H37)="","",INDEX('Time Entries'!K:K,$H37)))</f>
        <v/>
      </c>
      <c r="H37">
        <f>IF(AND($I$4&gt;=ROW()-3,$H$4&lt;&gt;""),$H$4+ROW()-4,"")</f>
        <v/>
      </c>
    </row>
    <row r="38">
      <c r="A38" s="16">
        <f>IF($H38="","",IF(INDEX('Time Entries'!G:G,$H38)="","",INDEX('Time Entries'!G:G,$H38)&amp;" - "&amp;INDEX('Time Entries'!H:H,$H38)))</f>
        <v/>
      </c>
      <c r="B38" s="16">
        <f>IF($H38="","",IF(INDEX('Time Entries'!G:G,$H38)="","",INDEX('Time Entries'!M:M,$H38)))</f>
        <v/>
      </c>
      <c r="C38" s="16">
        <f>IF($H38="","",IF(INDEX('Time Entries'!G:G,$H38)="","",INDEX('Time Entries'!N:N,$H38)))</f>
        <v/>
      </c>
      <c r="D38" s="16">
        <f>IF($H38="","",IF(INDEX('Time Entries'!G:G,$H38)="","",INDEX('Time Entries'!F:F,$H38)))</f>
        <v/>
      </c>
      <c r="E38" s="16">
        <f>IF($H38="","",IF(INDEX('Time Entries'!G:G,$H38)="","",INDEX('Time Entries'!G:G,$H38)))</f>
        <v/>
      </c>
      <c r="F38" s="17">
        <f>IF($H38="","",IF(INDEX('Time Entries'!G:G,$H38)="","",INDEX('Time Entries'!J:J,$H38)))</f>
        <v/>
      </c>
      <c r="G38" s="18">
        <f>IF($H38="","",IF(INDEX('Time Entries'!G:G,$H38)="","",INDEX('Time Entries'!K:K,$H38)))</f>
        <v/>
      </c>
      <c r="H38">
        <f>IF(AND($I$4&gt;=ROW()-3,$H$4&lt;&gt;""),$H$4+ROW()-4,"")</f>
        <v/>
      </c>
    </row>
    <row r="39">
      <c r="A39" s="16">
        <f>IF($H39="","",IF(INDEX('Time Entries'!G:G,$H39)="","",INDEX('Time Entries'!G:G,$H39)&amp;" - "&amp;INDEX('Time Entries'!H:H,$H39)))</f>
        <v/>
      </c>
      <c r="B39" s="16">
        <f>IF($H39="","",IF(INDEX('Time Entries'!G:G,$H39)="","",INDEX('Time Entries'!M:M,$H39)))</f>
        <v/>
      </c>
      <c r="C39" s="16">
        <f>IF($H39="","",IF(INDEX('Time Entries'!G:G,$H39)="","",INDEX('Time Entries'!N:N,$H39)))</f>
        <v/>
      </c>
      <c r="D39" s="16">
        <f>IF($H39="","",IF(INDEX('Time Entries'!G:G,$H39)="","",INDEX('Time Entries'!F:F,$H39)))</f>
        <v/>
      </c>
      <c r="E39" s="16">
        <f>IF($H39="","",IF(INDEX('Time Entries'!G:G,$H39)="","",INDEX('Time Entries'!G:G,$H39)))</f>
        <v/>
      </c>
      <c r="F39" s="17">
        <f>IF($H39="","",IF(INDEX('Time Entries'!G:G,$H39)="","",INDEX('Time Entries'!J:J,$H39)))</f>
        <v/>
      </c>
      <c r="G39" s="18">
        <f>IF($H39="","",IF(INDEX('Time Entries'!G:G,$H39)="","",INDEX('Time Entries'!K:K,$H39)))</f>
        <v/>
      </c>
      <c r="H39">
        <f>IF(AND($I$4&gt;=ROW()-3,$H$4&lt;&gt;""),$H$4+ROW()-4,"")</f>
        <v/>
      </c>
    </row>
    <row r="40">
      <c r="A40" s="16">
        <f>IF($H40="","",IF(INDEX('Time Entries'!G:G,$H40)="","",INDEX('Time Entries'!G:G,$H40)&amp;" - "&amp;INDEX('Time Entries'!H:H,$H40)))</f>
        <v/>
      </c>
      <c r="B40" s="16">
        <f>IF($H40="","",IF(INDEX('Time Entries'!G:G,$H40)="","",INDEX('Time Entries'!M:M,$H40)))</f>
        <v/>
      </c>
      <c r="C40" s="16">
        <f>IF($H40="","",IF(INDEX('Time Entries'!G:G,$H40)="","",INDEX('Time Entries'!N:N,$H40)))</f>
        <v/>
      </c>
      <c r="D40" s="16">
        <f>IF($H40="","",IF(INDEX('Time Entries'!G:G,$H40)="","",INDEX('Time Entries'!F:F,$H40)))</f>
        <v/>
      </c>
      <c r="E40" s="16">
        <f>IF($H40="","",IF(INDEX('Time Entries'!G:G,$H40)="","",INDEX('Time Entries'!G:G,$H40)))</f>
        <v/>
      </c>
      <c r="F40" s="17">
        <f>IF($H40="","",IF(INDEX('Time Entries'!G:G,$H40)="","",INDEX('Time Entries'!J:J,$H40)))</f>
        <v/>
      </c>
      <c r="G40" s="18">
        <f>IF($H40="","",IF(INDEX('Time Entries'!G:G,$H40)="","",INDEX('Time Entries'!K:K,$H40)))</f>
        <v/>
      </c>
      <c r="H40">
        <f>IF(AND($I$4&gt;=ROW()-3,$H$4&lt;&gt;""),$H$4+ROW()-4,"")</f>
        <v/>
      </c>
    </row>
    <row r="41">
      <c r="A41" s="16">
        <f>IF($H41="","",IF(INDEX('Time Entries'!G:G,$H41)="","",INDEX('Time Entries'!G:G,$H41)&amp;" - "&amp;INDEX('Time Entries'!H:H,$H41)))</f>
        <v/>
      </c>
      <c r="B41" s="16">
        <f>IF($H41="","",IF(INDEX('Time Entries'!G:G,$H41)="","",INDEX('Time Entries'!M:M,$H41)))</f>
        <v/>
      </c>
      <c r="C41" s="16">
        <f>IF($H41="","",IF(INDEX('Time Entries'!G:G,$H41)="","",INDEX('Time Entries'!N:N,$H41)))</f>
        <v/>
      </c>
      <c r="D41" s="16">
        <f>IF($H41="","",IF(INDEX('Time Entries'!G:G,$H41)="","",INDEX('Time Entries'!F:F,$H41)))</f>
        <v/>
      </c>
      <c r="E41" s="16">
        <f>IF($H41="","",IF(INDEX('Time Entries'!G:G,$H41)="","",INDEX('Time Entries'!G:G,$H41)))</f>
        <v/>
      </c>
      <c r="F41" s="17">
        <f>IF($H41="","",IF(INDEX('Time Entries'!G:G,$H41)="","",INDEX('Time Entries'!J:J,$H41)))</f>
        <v/>
      </c>
      <c r="G41" s="18">
        <f>IF($H41="","",IF(INDEX('Time Entries'!G:G,$H41)="","",INDEX('Time Entries'!K:K,$H41)))</f>
        <v/>
      </c>
      <c r="H41">
        <f>IF(AND($I$4&gt;=ROW()-3,$H$4&lt;&gt;""),$H$4+ROW()-4,"")</f>
        <v/>
      </c>
    </row>
    <row r="42">
      <c r="A42" s="16">
        <f>IF($H42="","",IF(INDEX('Time Entries'!G:G,$H42)="","",INDEX('Time Entries'!G:G,$H42)&amp;" - "&amp;INDEX('Time Entries'!H:H,$H42)))</f>
        <v/>
      </c>
      <c r="B42" s="16">
        <f>IF($H42="","",IF(INDEX('Time Entries'!G:G,$H42)="","",INDEX('Time Entries'!M:M,$H42)))</f>
        <v/>
      </c>
      <c r="C42" s="16">
        <f>IF($H42="","",IF(INDEX('Time Entries'!G:G,$H42)="","",INDEX('Time Entries'!N:N,$H42)))</f>
        <v/>
      </c>
      <c r="D42" s="16">
        <f>IF($H42="","",IF(INDEX('Time Entries'!G:G,$H42)="","",INDEX('Time Entries'!F:F,$H42)))</f>
        <v/>
      </c>
      <c r="E42" s="16">
        <f>IF($H42="","",IF(INDEX('Time Entries'!G:G,$H42)="","",INDEX('Time Entries'!G:G,$H42)))</f>
        <v/>
      </c>
      <c r="F42" s="17">
        <f>IF($H42="","",IF(INDEX('Time Entries'!G:G,$H42)="","",INDEX('Time Entries'!J:J,$H42)))</f>
        <v/>
      </c>
      <c r="G42" s="18">
        <f>IF($H42="","",IF(INDEX('Time Entries'!G:G,$H42)="","",INDEX('Time Entries'!K:K,$H42)))</f>
        <v/>
      </c>
      <c r="H42">
        <f>IF(AND($I$4&gt;=ROW()-3,$H$4&lt;&gt;""),$H$4+ROW()-4,"")</f>
        <v/>
      </c>
    </row>
    <row r="43">
      <c r="A43" s="16">
        <f>IF($H43="","",IF(INDEX('Time Entries'!G:G,$H43)="","",INDEX('Time Entries'!G:G,$H43)&amp;" - "&amp;INDEX('Time Entries'!H:H,$H43)))</f>
        <v/>
      </c>
      <c r="B43" s="16">
        <f>IF($H43="","",IF(INDEX('Time Entries'!G:G,$H43)="","",INDEX('Time Entries'!M:M,$H43)))</f>
        <v/>
      </c>
      <c r="C43" s="16">
        <f>IF($H43="","",IF(INDEX('Time Entries'!G:G,$H43)="","",INDEX('Time Entries'!N:N,$H43)))</f>
        <v/>
      </c>
      <c r="D43" s="16">
        <f>IF($H43="","",IF(INDEX('Time Entries'!G:G,$H43)="","",INDEX('Time Entries'!F:F,$H43)))</f>
        <v/>
      </c>
      <c r="E43" s="16">
        <f>IF($H43="","",IF(INDEX('Time Entries'!G:G,$H43)="","",INDEX('Time Entries'!G:G,$H43)))</f>
        <v/>
      </c>
      <c r="F43" s="17">
        <f>IF($H43="","",IF(INDEX('Time Entries'!G:G,$H43)="","",INDEX('Time Entries'!J:J,$H43)))</f>
        <v/>
      </c>
      <c r="G43" s="18">
        <f>IF($H43="","",IF(INDEX('Time Entries'!G:G,$H43)="","",INDEX('Time Entries'!K:K,$H43)))</f>
        <v/>
      </c>
      <c r="H43">
        <f>IF(AND($I$4&gt;=ROW()-3,$H$4&lt;&gt;""),$H$4+ROW()-4,"")</f>
        <v/>
      </c>
    </row>
    <row r="44">
      <c r="A44" s="16">
        <f>IF($H44="","",IF(INDEX('Time Entries'!G:G,$H44)="","",INDEX('Time Entries'!G:G,$H44)&amp;" - "&amp;INDEX('Time Entries'!H:H,$H44)))</f>
        <v/>
      </c>
      <c r="B44" s="16">
        <f>IF($H44="","",IF(INDEX('Time Entries'!G:G,$H44)="","",INDEX('Time Entries'!M:M,$H44)))</f>
        <v/>
      </c>
      <c r="C44" s="16">
        <f>IF($H44="","",IF(INDEX('Time Entries'!G:G,$H44)="","",INDEX('Time Entries'!N:N,$H44)))</f>
        <v/>
      </c>
      <c r="D44" s="16">
        <f>IF($H44="","",IF(INDEX('Time Entries'!G:G,$H44)="","",INDEX('Time Entries'!F:F,$H44)))</f>
        <v/>
      </c>
      <c r="E44" s="16">
        <f>IF($H44="","",IF(INDEX('Time Entries'!G:G,$H44)="","",INDEX('Time Entries'!G:G,$H44)))</f>
        <v/>
      </c>
      <c r="F44" s="17">
        <f>IF($H44="","",IF(INDEX('Time Entries'!G:G,$H44)="","",INDEX('Time Entries'!J:J,$H44)))</f>
        <v/>
      </c>
      <c r="G44" s="18">
        <f>IF($H44="","",IF(INDEX('Time Entries'!G:G,$H44)="","",INDEX('Time Entries'!K:K,$H44)))</f>
        <v/>
      </c>
      <c r="H44">
        <f>IF(AND($I$4&gt;=ROW()-3,$H$4&lt;&gt;""),$H$4+ROW()-4,"")</f>
        <v/>
      </c>
    </row>
    <row r="45">
      <c r="A45" s="16">
        <f>IF($H45="","",IF(INDEX('Time Entries'!G:G,$H45)="","",INDEX('Time Entries'!G:G,$H45)&amp;" - "&amp;INDEX('Time Entries'!H:H,$H45)))</f>
        <v/>
      </c>
      <c r="B45" s="16">
        <f>IF($H45="","",IF(INDEX('Time Entries'!G:G,$H45)="","",INDEX('Time Entries'!M:M,$H45)))</f>
        <v/>
      </c>
      <c r="C45" s="16">
        <f>IF($H45="","",IF(INDEX('Time Entries'!G:G,$H45)="","",INDEX('Time Entries'!N:N,$H45)))</f>
        <v/>
      </c>
      <c r="D45" s="16">
        <f>IF($H45="","",IF(INDEX('Time Entries'!G:G,$H45)="","",INDEX('Time Entries'!F:F,$H45)))</f>
        <v/>
      </c>
      <c r="E45" s="16">
        <f>IF($H45="","",IF(INDEX('Time Entries'!G:G,$H45)="","",INDEX('Time Entries'!G:G,$H45)))</f>
        <v/>
      </c>
      <c r="F45" s="17">
        <f>IF($H45="","",IF(INDEX('Time Entries'!G:G,$H45)="","",INDEX('Time Entries'!J:J,$H45)))</f>
        <v/>
      </c>
      <c r="G45" s="18">
        <f>IF($H45="","",IF(INDEX('Time Entries'!G:G,$H45)="","",INDEX('Time Entries'!K:K,$H45)))</f>
        <v/>
      </c>
      <c r="H45">
        <f>IF(AND($I$4&gt;=ROW()-3,$H$4&lt;&gt;""),$H$4+ROW()-4,"")</f>
        <v/>
      </c>
    </row>
    <row r="46">
      <c r="A46" s="16">
        <f>IF($H46="","",IF(INDEX('Time Entries'!G:G,$H46)="","",INDEX('Time Entries'!G:G,$H46)&amp;" - "&amp;INDEX('Time Entries'!H:H,$H46)))</f>
        <v/>
      </c>
      <c r="B46" s="16">
        <f>IF($H46="","",IF(INDEX('Time Entries'!G:G,$H46)="","",INDEX('Time Entries'!M:M,$H46)))</f>
        <v/>
      </c>
      <c r="C46" s="16">
        <f>IF($H46="","",IF(INDEX('Time Entries'!G:G,$H46)="","",INDEX('Time Entries'!N:N,$H46)))</f>
        <v/>
      </c>
      <c r="D46" s="16">
        <f>IF($H46="","",IF(INDEX('Time Entries'!G:G,$H46)="","",INDEX('Time Entries'!F:F,$H46)))</f>
        <v/>
      </c>
      <c r="E46" s="16">
        <f>IF($H46="","",IF(INDEX('Time Entries'!G:G,$H46)="","",INDEX('Time Entries'!G:G,$H46)))</f>
        <v/>
      </c>
      <c r="F46" s="17">
        <f>IF($H46="","",IF(INDEX('Time Entries'!G:G,$H46)="","",INDEX('Time Entries'!J:J,$H46)))</f>
        <v/>
      </c>
      <c r="G46" s="18">
        <f>IF($H46="","",IF(INDEX('Time Entries'!G:G,$H46)="","",INDEX('Time Entries'!K:K,$H46)))</f>
        <v/>
      </c>
      <c r="H46">
        <f>IF(AND($I$4&gt;=ROW()-3,$H$4&lt;&gt;""),$H$4+ROW()-4,"")</f>
        <v/>
      </c>
    </row>
    <row r="47">
      <c r="A47" s="16">
        <f>IF($H47="","",IF(INDEX('Time Entries'!G:G,$H47)="","",INDEX('Time Entries'!G:G,$H47)&amp;" - "&amp;INDEX('Time Entries'!H:H,$H47)))</f>
        <v/>
      </c>
      <c r="B47" s="16">
        <f>IF($H47="","",IF(INDEX('Time Entries'!G:G,$H47)="","",INDEX('Time Entries'!M:M,$H47)))</f>
        <v/>
      </c>
      <c r="C47" s="16">
        <f>IF($H47="","",IF(INDEX('Time Entries'!G:G,$H47)="","",INDEX('Time Entries'!N:N,$H47)))</f>
        <v/>
      </c>
      <c r="D47" s="16">
        <f>IF($H47="","",IF(INDEX('Time Entries'!G:G,$H47)="","",INDEX('Time Entries'!F:F,$H47)))</f>
        <v/>
      </c>
      <c r="E47" s="16">
        <f>IF($H47="","",IF(INDEX('Time Entries'!G:G,$H47)="","",INDEX('Time Entries'!G:G,$H47)))</f>
        <v/>
      </c>
      <c r="F47" s="17">
        <f>IF($H47="","",IF(INDEX('Time Entries'!G:G,$H47)="","",INDEX('Time Entries'!J:J,$H47)))</f>
        <v/>
      </c>
      <c r="G47" s="18">
        <f>IF($H47="","",IF(INDEX('Time Entries'!G:G,$H47)="","",INDEX('Time Entries'!K:K,$H47)))</f>
        <v/>
      </c>
      <c r="H47">
        <f>IF(AND($I$4&gt;=ROW()-3,$H$4&lt;&gt;""),$H$4+ROW()-4,"")</f>
        <v/>
      </c>
    </row>
    <row r="48">
      <c r="A48" s="16">
        <f>IF($H48="","",IF(INDEX('Time Entries'!G:G,$H48)="","",INDEX('Time Entries'!G:G,$H48)&amp;" - "&amp;INDEX('Time Entries'!H:H,$H48)))</f>
        <v/>
      </c>
      <c r="B48" s="16">
        <f>IF($H48="","",IF(INDEX('Time Entries'!G:G,$H48)="","",INDEX('Time Entries'!M:M,$H48)))</f>
        <v/>
      </c>
      <c r="C48" s="16">
        <f>IF($H48="","",IF(INDEX('Time Entries'!G:G,$H48)="","",INDEX('Time Entries'!N:N,$H48)))</f>
        <v/>
      </c>
      <c r="D48" s="16">
        <f>IF($H48="","",IF(INDEX('Time Entries'!G:G,$H48)="","",INDEX('Time Entries'!F:F,$H48)))</f>
        <v/>
      </c>
      <c r="E48" s="16">
        <f>IF($H48="","",IF(INDEX('Time Entries'!G:G,$H48)="","",INDEX('Time Entries'!G:G,$H48)))</f>
        <v/>
      </c>
      <c r="F48" s="17">
        <f>IF($H48="","",IF(INDEX('Time Entries'!G:G,$H48)="","",INDEX('Time Entries'!J:J,$H48)))</f>
        <v/>
      </c>
      <c r="G48" s="18">
        <f>IF($H48="","",IF(INDEX('Time Entries'!G:G,$H48)="","",INDEX('Time Entries'!K:K,$H48)))</f>
        <v/>
      </c>
      <c r="H48">
        <f>IF(AND($I$4&gt;=ROW()-3,$H$4&lt;&gt;""),$H$4+ROW()-4,"")</f>
        <v/>
      </c>
    </row>
    <row r="49">
      <c r="A49" s="16">
        <f>IF($H49="","",IF(INDEX('Time Entries'!G:G,$H49)="","",INDEX('Time Entries'!G:G,$H49)&amp;" - "&amp;INDEX('Time Entries'!H:H,$H49)))</f>
        <v/>
      </c>
      <c r="B49" s="16">
        <f>IF($H49="","",IF(INDEX('Time Entries'!G:G,$H49)="","",INDEX('Time Entries'!M:M,$H49)))</f>
        <v/>
      </c>
      <c r="C49" s="16">
        <f>IF($H49="","",IF(INDEX('Time Entries'!G:G,$H49)="","",INDEX('Time Entries'!N:N,$H49)))</f>
        <v/>
      </c>
      <c r="D49" s="16">
        <f>IF($H49="","",IF(INDEX('Time Entries'!G:G,$H49)="","",INDEX('Time Entries'!F:F,$H49)))</f>
        <v/>
      </c>
      <c r="E49" s="16">
        <f>IF($H49="","",IF(INDEX('Time Entries'!G:G,$H49)="","",INDEX('Time Entries'!G:G,$H49)))</f>
        <v/>
      </c>
      <c r="F49" s="17">
        <f>IF($H49="","",IF(INDEX('Time Entries'!G:G,$H49)="","",INDEX('Time Entries'!J:J,$H49)))</f>
        <v/>
      </c>
      <c r="G49" s="18">
        <f>IF($H49="","",IF(INDEX('Time Entries'!G:G,$H49)="","",INDEX('Time Entries'!K:K,$H49)))</f>
        <v/>
      </c>
      <c r="H49">
        <f>IF(AND($I$4&gt;=ROW()-3,$H$4&lt;&gt;""),$H$4+ROW()-4,"")</f>
        <v/>
      </c>
    </row>
    <row r="50">
      <c r="A50" s="16">
        <f>IF($H50="","",IF(INDEX('Time Entries'!G:G,$H50)="","",INDEX('Time Entries'!G:G,$H50)&amp;" - "&amp;INDEX('Time Entries'!H:H,$H50)))</f>
        <v/>
      </c>
      <c r="B50" s="16">
        <f>IF($H50="","",IF(INDEX('Time Entries'!G:G,$H50)="","",INDEX('Time Entries'!M:M,$H50)))</f>
        <v/>
      </c>
      <c r="C50" s="16">
        <f>IF($H50="","",IF(INDEX('Time Entries'!G:G,$H50)="","",INDEX('Time Entries'!N:N,$H50)))</f>
        <v/>
      </c>
      <c r="D50" s="16">
        <f>IF($H50="","",IF(INDEX('Time Entries'!G:G,$H50)="","",INDEX('Time Entries'!F:F,$H50)))</f>
        <v/>
      </c>
      <c r="E50" s="16">
        <f>IF($H50="","",IF(INDEX('Time Entries'!G:G,$H50)="","",INDEX('Time Entries'!G:G,$H50)))</f>
        <v/>
      </c>
      <c r="F50" s="17">
        <f>IF($H50="","",IF(INDEX('Time Entries'!G:G,$H50)="","",INDEX('Time Entries'!J:J,$H50)))</f>
        <v/>
      </c>
      <c r="G50" s="18">
        <f>IF($H50="","",IF(INDEX('Time Entries'!G:G,$H50)="","",INDEX('Time Entries'!K:K,$H50)))</f>
        <v/>
      </c>
      <c r="H50">
        <f>IF(AND($I$4&gt;=ROW()-3,$H$4&lt;&gt;""),$H$4+ROW()-4,"")</f>
        <v/>
      </c>
    </row>
    <row r="51">
      <c r="A51" s="16">
        <f>IF($H51="","",IF(INDEX('Time Entries'!G:G,$H51)="","",INDEX('Time Entries'!G:G,$H51)&amp;" - "&amp;INDEX('Time Entries'!H:H,$H51)))</f>
        <v/>
      </c>
      <c r="B51" s="16">
        <f>IF($H51="","",IF(INDEX('Time Entries'!G:G,$H51)="","",INDEX('Time Entries'!M:M,$H51)))</f>
        <v/>
      </c>
      <c r="C51" s="16">
        <f>IF($H51="","",IF(INDEX('Time Entries'!G:G,$H51)="","",INDEX('Time Entries'!N:N,$H51)))</f>
        <v/>
      </c>
      <c r="D51" s="16">
        <f>IF($H51="","",IF(INDEX('Time Entries'!G:G,$H51)="","",INDEX('Time Entries'!F:F,$H51)))</f>
        <v/>
      </c>
      <c r="E51" s="16">
        <f>IF($H51="","",IF(INDEX('Time Entries'!G:G,$H51)="","",INDEX('Time Entries'!G:G,$H51)))</f>
        <v/>
      </c>
      <c r="F51" s="17">
        <f>IF($H51="","",IF(INDEX('Time Entries'!G:G,$H51)="","",INDEX('Time Entries'!J:J,$H51)))</f>
        <v/>
      </c>
      <c r="G51" s="18">
        <f>IF($H51="","",IF(INDEX('Time Entries'!G:G,$H51)="","",INDEX('Time Entries'!K:K,$H51)))</f>
        <v/>
      </c>
      <c r="H51">
        <f>IF(AND($I$4&gt;=ROW()-3,$H$4&lt;&gt;""),$H$4+ROW()-4,"")</f>
        <v/>
      </c>
    </row>
    <row r="52">
      <c r="A52" s="16">
        <f>IF($H52="","",IF(INDEX('Time Entries'!G:G,$H52)="","",INDEX('Time Entries'!G:G,$H52)&amp;" - "&amp;INDEX('Time Entries'!H:H,$H52)))</f>
        <v/>
      </c>
      <c r="B52" s="16">
        <f>IF($H52="","",IF(INDEX('Time Entries'!G:G,$H52)="","",INDEX('Time Entries'!M:M,$H52)))</f>
        <v/>
      </c>
      <c r="C52" s="16">
        <f>IF($H52="","",IF(INDEX('Time Entries'!G:G,$H52)="","",INDEX('Time Entries'!N:N,$H52)))</f>
        <v/>
      </c>
      <c r="D52" s="16">
        <f>IF($H52="","",IF(INDEX('Time Entries'!G:G,$H52)="","",INDEX('Time Entries'!F:F,$H52)))</f>
        <v/>
      </c>
      <c r="E52" s="16">
        <f>IF($H52="","",IF(INDEX('Time Entries'!G:G,$H52)="","",INDEX('Time Entries'!G:G,$H52)))</f>
        <v/>
      </c>
      <c r="F52" s="17">
        <f>IF($H52="","",IF(INDEX('Time Entries'!G:G,$H52)="","",INDEX('Time Entries'!J:J,$H52)))</f>
        <v/>
      </c>
      <c r="G52" s="18">
        <f>IF($H52="","",IF(INDEX('Time Entries'!G:G,$H52)="","",INDEX('Time Entries'!K:K,$H52)))</f>
        <v/>
      </c>
      <c r="H52">
        <f>IF(AND($I$4&gt;=ROW()-3,$H$4&lt;&gt;""),$H$4+ROW()-4,"")</f>
        <v/>
      </c>
    </row>
    <row r="53">
      <c r="A53" s="16">
        <f>IF($H53="","",IF(INDEX('Time Entries'!G:G,$H53)="","",INDEX('Time Entries'!G:G,$H53)&amp;" - "&amp;INDEX('Time Entries'!H:H,$H53)))</f>
        <v/>
      </c>
      <c r="B53" s="16">
        <f>IF($H53="","",IF(INDEX('Time Entries'!G:G,$H53)="","",INDEX('Time Entries'!M:M,$H53)))</f>
        <v/>
      </c>
      <c r="C53" s="16">
        <f>IF($H53="","",IF(INDEX('Time Entries'!G:G,$H53)="","",INDEX('Time Entries'!N:N,$H53)))</f>
        <v/>
      </c>
      <c r="D53" s="16">
        <f>IF($H53="","",IF(INDEX('Time Entries'!G:G,$H53)="","",INDEX('Time Entries'!F:F,$H53)))</f>
        <v/>
      </c>
      <c r="E53" s="16">
        <f>IF($H53="","",IF(INDEX('Time Entries'!G:G,$H53)="","",INDEX('Time Entries'!G:G,$H53)))</f>
        <v/>
      </c>
      <c r="F53" s="17">
        <f>IF($H53="","",IF(INDEX('Time Entries'!G:G,$H53)="","",INDEX('Time Entries'!J:J,$H53)))</f>
        <v/>
      </c>
      <c r="G53" s="18">
        <f>IF($H53="","",IF(INDEX('Time Entries'!G:G,$H53)="","",INDEX('Time Entries'!K:K,$H53)))</f>
        <v/>
      </c>
      <c r="H53">
        <f>IF(AND($I$4&gt;=ROW()-3,$H$4&lt;&gt;""),$H$4+ROW()-4,"")</f>
        <v/>
      </c>
    </row>
    <row r="54">
      <c r="A54" s="16">
        <f>IF($H54="","",IF(INDEX('Time Entries'!G:G,$H54)="","",INDEX('Time Entries'!G:G,$H54)&amp;" - "&amp;INDEX('Time Entries'!H:H,$H54)))</f>
        <v/>
      </c>
      <c r="B54" s="16">
        <f>IF($H54="","",IF(INDEX('Time Entries'!G:G,$H54)="","",INDEX('Time Entries'!M:M,$H54)))</f>
        <v/>
      </c>
      <c r="C54" s="16">
        <f>IF($H54="","",IF(INDEX('Time Entries'!G:G,$H54)="","",INDEX('Time Entries'!N:N,$H54)))</f>
        <v/>
      </c>
      <c r="D54" s="16">
        <f>IF($H54="","",IF(INDEX('Time Entries'!G:G,$H54)="","",INDEX('Time Entries'!F:F,$H54)))</f>
        <v/>
      </c>
      <c r="E54" s="16">
        <f>IF($H54="","",IF(INDEX('Time Entries'!G:G,$H54)="","",INDEX('Time Entries'!G:G,$H54)))</f>
        <v/>
      </c>
      <c r="F54" s="17">
        <f>IF($H54="","",IF(INDEX('Time Entries'!G:G,$H54)="","",INDEX('Time Entries'!J:J,$H54)))</f>
        <v/>
      </c>
      <c r="G54" s="18">
        <f>IF($H54="","",IF(INDEX('Time Entries'!G:G,$H54)="","",INDEX('Time Entries'!K:K,$H54)))</f>
        <v/>
      </c>
      <c r="H54">
        <f>IF(AND($I$4&gt;=ROW()-3,$H$4&lt;&gt;""),$H$4+ROW()-4,"")</f>
        <v/>
      </c>
    </row>
    <row r="55">
      <c r="A55" s="16">
        <f>IF($H55="","",IF(INDEX('Time Entries'!G:G,$H55)="","",INDEX('Time Entries'!G:G,$H55)&amp;" - "&amp;INDEX('Time Entries'!H:H,$H55)))</f>
        <v/>
      </c>
      <c r="B55" s="16">
        <f>IF($H55="","",IF(INDEX('Time Entries'!G:G,$H55)="","",INDEX('Time Entries'!M:M,$H55)))</f>
        <v/>
      </c>
      <c r="C55" s="16">
        <f>IF($H55="","",IF(INDEX('Time Entries'!G:G,$H55)="","",INDEX('Time Entries'!N:N,$H55)))</f>
        <v/>
      </c>
      <c r="D55" s="16">
        <f>IF($H55="","",IF(INDEX('Time Entries'!G:G,$H55)="","",INDEX('Time Entries'!F:F,$H55)))</f>
        <v/>
      </c>
      <c r="E55" s="16">
        <f>IF($H55="","",IF(INDEX('Time Entries'!G:G,$H55)="","",INDEX('Time Entries'!G:G,$H55)))</f>
        <v/>
      </c>
      <c r="F55" s="17">
        <f>IF($H55="","",IF(INDEX('Time Entries'!G:G,$H55)="","",INDEX('Time Entries'!J:J,$H55)))</f>
        <v/>
      </c>
      <c r="G55" s="18">
        <f>IF($H55="","",IF(INDEX('Time Entries'!G:G,$H55)="","",INDEX('Time Entries'!K:K,$H55)))</f>
        <v/>
      </c>
      <c r="H55">
        <f>IF(AND($I$4&gt;=ROW()-3,$H$4&lt;&gt;""),$H$4+ROW()-4,"")</f>
        <v/>
      </c>
    </row>
    <row r="56">
      <c r="A56" s="16">
        <f>IF($H56="","",IF(INDEX('Time Entries'!G:G,$H56)="","",INDEX('Time Entries'!G:G,$H56)&amp;" - "&amp;INDEX('Time Entries'!H:H,$H56)))</f>
        <v/>
      </c>
      <c r="B56" s="16">
        <f>IF($H56="","",IF(INDEX('Time Entries'!G:G,$H56)="","",INDEX('Time Entries'!M:M,$H56)))</f>
        <v/>
      </c>
      <c r="C56" s="16">
        <f>IF($H56="","",IF(INDEX('Time Entries'!G:G,$H56)="","",INDEX('Time Entries'!N:N,$H56)))</f>
        <v/>
      </c>
      <c r="D56" s="16">
        <f>IF($H56="","",IF(INDEX('Time Entries'!G:G,$H56)="","",INDEX('Time Entries'!F:F,$H56)))</f>
        <v/>
      </c>
      <c r="E56" s="16">
        <f>IF($H56="","",IF(INDEX('Time Entries'!G:G,$H56)="","",INDEX('Time Entries'!G:G,$H56)))</f>
        <v/>
      </c>
      <c r="F56" s="17">
        <f>IF($H56="","",IF(INDEX('Time Entries'!G:G,$H56)="","",INDEX('Time Entries'!J:J,$H56)))</f>
        <v/>
      </c>
      <c r="G56" s="18">
        <f>IF($H56="","",IF(INDEX('Time Entries'!G:G,$H56)="","",INDEX('Time Entries'!K:K,$H56)))</f>
        <v/>
      </c>
      <c r="H56">
        <f>IF(AND($I$4&gt;=ROW()-3,$H$4&lt;&gt;""),$H$4+ROW()-4,"")</f>
        <v/>
      </c>
    </row>
    <row r="57">
      <c r="A57" s="16">
        <f>IF($H57="","",IF(INDEX('Time Entries'!G:G,$H57)="","",INDEX('Time Entries'!G:G,$H57)&amp;" - "&amp;INDEX('Time Entries'!H:H,$H57)))</f>
        <v/>
      </c>
      <c r="B57" s="16">
        <f>IF($H57="","",IF(INDEX('Time Entries'!G:G,$H57)="","",INDEX('Time Entries'!M:M,$H57)))</f>
        <v/>
      </c>
      <c r="C57" s="16">
        <f>IF($H57="","",IF(INDEX('Time Entries'!G:G,$H57)="","",INDEX('Time Entries'!N:N,$H57)))</f>
        <v/>
      </c>
      <c r="D57" s="16">
        <f>IF($H57="","",IF(INDEX('Time Entries'!G:G,$H57)="","",INDEX('Time Entries'!F:F,$H57)))</f>
        <v/>
      </c>
      <c r="E57" s="16">
        <f>IF($H57="","",IF(INDEX('Time Entries'!G:G,$H57)="","",INDEX('Time Entries'!G:G,$H57)))</f>
        <v/>
      </c>
      <c r="F57" s="17">
        <f>IF($H57="","",IF(INDEX('Time Entries'!G:G,$H57)="","",INDEX('Time Entries'!J:J,$H57)))</f>
        <v/>
      </c>
      <c r="G57" s="18">
        <f>IF($H57="","",IF(INDEX('Time Entries'!G:G,$H57)="","",INDEX('Time Entries'!K:K,$H57)))</f>
        <v/>
      </c>
      <c r="H57">
        <f>IF(AND($I$4&gt;=ROW()-3,$H$4&lt;&gt;""),$H$4+ROW()-4,"")</f>
        <v/>
      </c>
    </row>
    <row r="58">
      <c r="A58" s="16">
        <f>IF($H58="","",IF(INDEX('Time Entries'!G:G,$H58)="","",INDEX('Time Entries'!G:G,$H58)&amp;" - "&amp;INDEX('Time Entries'!H:H,$H58)))</f>
        <v/>
      </c>
      <c r="B58" s="16">
        <f>IF($H58="","",IF(INDEX('Time Entries'!G:G,$H58)="","",INDEX('Time Entries'!M:M,$H58)))</f>
        <v/>
      </c>
      <c r="C58" s="16">
        <f>IF($H58="","",IF(INDEX('Time Entries'!G:G,$H58)="","",INDEX('Time Entries'!N:N,$H58)))</f>
        <v/>
      </c>
      <c r="D58" s="16">
        <f>IF($H58="","",IF(INDEX('Time Entries'!G:G,$H58)="","",INDEX('Time Entries'!F:F,$H58)))</f>
        <v/>
      </c>
      <c r="E58" s="16">
        <f>IF($H58="","",IF(INDEX('Time Entries'!G:G,$H58)="","",INDEX('Time Entries'!G:G,$H58)))</f>
        <v/>
      </c>
      <c r="F58" s="17">
        <f>IF($H58="","",IF(INDEX('Time Entries'!G:G,$H58)="","",INDEX('Time Entries'!J:J,$H58)))</f>
        <v/>
      </c>
      <c r="G58" s="18">
        <f>IF($H58="","",IF(INDEX('Time Entries'!G:G,$H58)="","",INDEX('Time Entries'!K:K,$H58)))</f>
        <v/>
      </c>
      <c r="H58">
        <f>IF(AND($I$4&gt;=ROW()-3,$H$4&lt;&gt;""),$H$4+ROW()-4,"")</f>
        <v/>
      </c>
    </row>
    <row r="59">
      <c r="A59" s="16">
        <f>IF($H59="","",IF(INDEX('Time Entries'!G:G,$H59)="","",INDEX('Time Entries'!G:G,$H59)&amp;" - "&amp;INDEX('Time Entries'!H:H,$H59)))</f>
        <v/>
      </c>
      <c r="B59" s="16">
        <f>IF($H59="","",IF(INDEX('Time Entries'!G:G,$H59)="","",INDEX('Time Entries'!M:M,$H59)))</f>
        <v/>
      </c>
      <c r="C59" s="16">
        <f>IF($H59="","",IF(INDEX('Time Entries'!G:G,$H59)="","",INDEX('Time Entries'!N:N,$H59)))</f>
        <v/>
      </c>
      <c r="D59" s="16">
        <f>IF($H59="","",IF(INDEX('Time Entries'!G:G,$H59)="","",INDEX('Time Entries'!F:F,$H59)))</f>
        <v/>
      </c>
      <c r="E59" s="16">
        <f>IF($H59="","",IF(INDEX('Time Entries'!G:G,$H59)="","",INDEX('Time Entries'!G:G,$H59)))</f>
        <v/>
      </c>
      <c r="F59" s="17">
        <f>IF($H59="","",IF(INDEX('Time Entries'!G:G,$H59)="","",INDEX('Time Entries'!J:J,$H59)))</f>
        <v/>
      </c>
      <c r="G59" s="18">
        <f>IF($H59="","",IF(INDEX('Time Entries'!G:G,$H59)="","",INDEX('Time Entries'!K:K,$H59)))</f>
        <v/>
      </c>
      <c r="H59">
        <f>IF(AND($I$4&gt;=ROW()-3,$H$4&lt;&gt;""),$H$4+ROW()-4,"")</f>
        <v/>
      </c>
    </row>
    <row r="60">
      <c r="A60" s="16">
        <f>IF($H60="","",IF(INDEX('Time Entries'!G:G,$H60)="","",INDEX('Time Entries'!G:G,$H60)&amp;" - "&amp;INDEX('Time Entries'!H:H,$H60)))</f>
        <v/>
      </c>
      <c r="B60" s="16">
        <f>IF($H60="","",IF(INDEX('Time Entries'!G:G,$H60)="","",INDEX('Time Entries'!M:M,$H60)))</f>
        <v/>
      </c>
      <c r="C60" s="16">
        <f>IF($H60="","",IF(INDEX('Time Entries'!G:G,$H60)="","",INDEX('Time Entries'!N:N,$H60)))</f>
        <v/>
      </c>
      <c r="D60" s="16">
        <f>IF($H60="","",IF(INDEX('Time Entries'!G:G,$H60)="","",INDEX('Time Entries'!F:F,$H60)))</f>
        <v/>
      </c>
      <c r="E60" s="16">
        <f>IF($H60="","",IF(INDEX('Time Entries'!G:G,$H60)="","",INDEX('Time Entries'!G:G,$H60)))</f>
        <v/>
      </c>
      <c r="F60" s="17">
        <f>IF($H60="","",IF(INDEX('Time Entries'!G:G,$H60)="","",INDEX('Time Entries'!J:J,$H60)))</f>
        <v/>
      </c>
      <c r="G60" s="18">
        <f>IF($H60="","",IF(INDEX('Time Entries'!G:G,$H60)="","",INDEX('Time Entries'!K:K,$H60)))</f>
        <v/>
      </c>
      <c r="H60">
        <f>IF(AND($I$4&gt;=ROW()-3,$H$4&lt;&gt;""),$H$4+ROW()-4,"")</f>
        <v/>
      </c>
    </row>
    <row r="61">
      <c r="A61" s="16">
        <f>IF($H61="","",IF(INDEX('Time Entries'!G:G,$H61)="","",INDEX('Time Entries'!G:G,$H61)&amp;" - "&amp;INDEX('Time Entries'!H:H,$H61)))</f>
        <v/>
      </c>
      <c r="B61" s="16">
        <f>IF($H61="","",IF(INDEX('Time Entries'!G:G,$H61)="","",INDEX('Time Entries'!M:M,$H61)))</f>
        <v/>
      </c>
      <c r="C61" s="16">
        <f>IF($H61="","",IF(INDEX('Time Entries'!G:G,$H61)="","",INDEX('Time Entries'!N:N,$H61)))</f>
        <v/>
      </c>
      <c r="D61" s="16">
        <f>IF($H61="","",IF(INDEX('Time Entries'!G:G,$H61)="","",INDEX('Time Entries'!F:F,$H61)))</f>
        <v/>
      </c>
      <c r="E61" s="16">
        <f>IF($H61="","",IF(INDEX('Time Entries'!G:G,$H61)="","",INDEX('Time Entries'!G:G,$H61)))</f>
        <v/>
      </c>
      <c r="F61" s="17">
        <f>IF($H61="","",IF(INDEX('Time Entries'!G:G,$H61)="","",INDEX('Time Entries'!J:J,$H61)))</f>
        <v/>
      </c>
      <c r="G61" s="18">
        <f>IF($H61="","",IF(INDEX('Time Entries'!G:G,$H61)="","",INDEX('Time Entries'!K:K,$H61)))</f>
        <v/>
      </c>
      <c r="H61">
        <f>IF(AND($I$4&gt;=ROW()-3,$H$4&lt;&gt;""),$H$4+ROW()-4,"")</f>
        <v/>
      </c>
    </row>
    <row r="62">
      <c r="A62" s="16">
        <f>IF($H62="","",IF(INDEX('Time Entries'!G:G,$H62)="","",INDEX('Time Entries'!G:G,$H62)&amp;" - "&amp;INDEX('Time Entries'!H:H,$H62)))</f>
        <v/>
      </c>
      <c r="B62" s="16">
        <f>IF($H62="","",IF(INDEX('Time Entries'!G:G,$H62)="","",INDEX('Time Entries'!M:M,$H62)))</f>
        <v/>
      </c>
      <c r="C62" s="16">
        <f>IF($H62="","",IF(INDEX('Time Entries'!G:G,$H62)="","",INDEX('Time Entries'!N:N,$H62)))</f>
        <v/>
      </c>
      <c r="D62" s="16">
        <f>IF($H62="","",IF(INDEX('Time Entries'!G:G,$H62)="","",INDEX('Time Entries'!F:F,$H62)))</f>
        <v/>
      </c>
      <c r="E62" s="16">
        <f>IF($H62="","",IF(INDEX('Time Entries'!G:G,$H62)="","",INDEX('Time Entries'!G:G,$H62)))</f>
        <v/>
      </c>
      <c r="F62" s="17">
        <f>IF($H62="","",IF(INDEX('Time Entries'!G:G,$H62)="","",INDEX('Time Entries'!J:J,$H62)))</f>
        <v/>
      </c>
      <c r="G62" s="18">
        <f>IF($H62="","",IF(INDEX('Time Entries'!G:G,$H62)="","",INDEX('Time Entries'!K:K,$H62)))</f>
        <v/>
      </c>
      <c r="H62">
        <f>IF(AND($I$4&gt;=ROW()-3,$H$4&lt;&gt;""),$H$4+ROW()-4,"")</f>
        <v/>
      </c>
    </row>
    <row r="63">
      <c r="A63" s="16">
        <f>IF($H63="","",IF(INDEX('Time Entries'!G:G,$H63)="","",INDEX('Time Entries'!G:G,$H63)&amp;" - "&amp;INDEX('Time Entries'!H:H,$H63)))</f>
        <v/>
      </c>
      <c r="B63" s="16">
        <f>IF($H63="","",IF(INDEX('Time Entries'!G:G,$H63)="","",INDEX('Time Entries'!M:M,$H63)))</f>
        <v/>
      </c>
      <c r="C63" s="16">
        <f>IF($H63="","",IF(INDEX('Time Entries'!G:G,$H63)="","",INDEX('Time Entries'!N:N,$H63)))</f>
        <v/>
      </c>
      <c r="D63" s="16">
        <f>IF($H63="","",IF(INDEX('Time Entries'!G:G,$H63)="","",INDEX('Time Entries'!F:F,$H63)))</f>
        <v/>
      </c>
      <c r="E63" s="16">
        <f>IF($H63="","",IF(INDEX('Time Entries'!G:G,$H63)="","",INDEX('Time Entries'!G:G,$H63)))</f>
        <v/>
      </c>
      <c r="F63" s="17">
        <f>IF($H63="","",IF(INDEX('Time Entries'!G:G,$H63)="","",INDEX('Time Entries'!J:J,$H63)))</f>
        <v/>
      </c>
      <c r="G63" s="18">
        <f>IF($H63="","",IF(INDEX('Time Entries'!G:G,$H63)="","",INDEX('Time Entries'!K:K,$H63)))</f>
        <v/>
      </c>
      <c r="H63">
        <f>IF(AND($I$4&gt;=ROW()-3,$H$4&lt;&gt;""),$H$4+ROW()-4,"")</f>
        <v/>
      </c>
    </row>
    <row r="65">
      <c r="A65" s="19" t="inlineStr">
        <is>
          <t>DAY SUMMARY</t>
        </is>
      </c>
    </row>
    <row r="66">
      <c r="A66" s="10" t="inlineStr">
        <is>
          <t>Total Hours:</t>
        </is>
      </c>
      <c r="B66" s="11">
        <f>SUM(F4:F63)</f>
        <v/>
      </c>
    </row>
    <row r="67">
      <c r="A67" s="10" t="inlineStr">
        <is>
          <t>Working Day:</t>
        </is>
      </c>
      <c r="B67" s="10" t="inlineStr">
        <is>
          <t>7.50 h</t>
        </is>
      </c>
    </row>
    <row r="68">
      <c r="A68" s="10" t="inlineStr">
        <is>
          <t>% Utilized:</t>
        </is>
      </c>
      <c r="B68" s="20">
        <f>IF(F66=0,"N/A",F66/7.5)</f>
        <v/>
      </c>
    </row>
    <row r="69">
      <c r="A69" s="10" t="inlineStr">
        <is>
          <t>Status:</t>
        </is>
      </c>
      <c r="B69" s="10">
        <f>IF(F66=0,"No entries",IF(F66&gt;=7.5,"Full day","Partial: "&amp;TEXT(7.5-F66,"0.00")&amp;"h remaining"))</f>
        <v/>
      </c>
    </row>
  </sheetData>
  <mergeCells count="3">
    <mergeCell ref="A2:G2"/>
    <mergeCell ref="A1:B1"/>
    <mergeCell ref="A65:G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20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21" t="inlineStr">
        <is>
          <t>Monthly Performance</t>
        </is>
      </c>
      <c r="I1" t="inlineStr">
        <is>
          <t>LatestDate</t>
        </is>
      </c>
      <c r="J1" t="inlineStr">
        <is>
          <t>MonthStart</t>
        </is>
      </c>
      <c r="K1" t="inlineStr">
        <is>
          <t>MonthEnd</t>
        </is>
      </c>
    </row>
    <row r="2">
      <c r="A2" s="7">
        <f>"Month: "&amp;TEXT(J2,"mm-yyyy")</f>
        <v/>
      </c>
      <c r="I2">
        <f>MAX('Time Entries'!A:A)</f>
        <v/>
      </c>
      <c r="J2">
        <f>DATE(YEAR(I2),MONTH(I2),1)</f>
        <v/>
      </c>
      <c r="K2">
        <f>EOMONTH(I2,0)</f>
        <v/>
      </c>
    </row>
    <row r="3">
      <c r="A3" s="1" t="inlineStr">
        <is>
          <t>Code</t>
        </is>
      </c>
      <c r="B3" s="1" t="inlineStr">
        <is>
          <t>Father Task</t>
        </is>
      </c>
      <c r="C3" s="1" t="inlineStr">
        <is>
          <t>Project</t>
        </is>
      </c>
      <c r="D3" s="1" t="inlineStr">
        <is>
          <t>Total Hours</t>
        </is>
      </c>
      <c r="E3" s="1" t="inlineStr">
        <is>
          <t>Deadline (h)</t>
        </is>
      </c>
      <c r="F3" s="1" t="inlineStr">
        <is>
          <t>% Performance</t>
        </is>
      </c>
      <c r="G3" s="1" t="inlineStr">
        <is>
          <t>Status</t>
        </is>
      </c>
      <c r="H3" s="1" t="inlineStr">
        <is>
          <t>Completed Date</t>
        </is>
      </c>
    </row>
    <row r="4">
      <c r="A4" s="18">
        <f>IF(KPIs!A2="","",KPIs!A2)</f>
        <v/>
      </c>
      <c r="B4" s="18">
        <f>IF(KPIs!B2="","",KPIs!B2)</f>
        <v/>
      </c>
      <c r="C4" s="16">
        <f>IF($B4="","",INDEX(KPIs!C:C,MATCH($B4,KPIs!B:B,0)))</f>
        <v/>
      </c>
      <c r="D4" s="17">
        <f>IF($B4="","",SUMIFS('Time Entries'!J:J,'Time Entries'!N:N,$B4,'Time Entries'!A:A,"&gt;="&amp;$J$2,'Time Entries'!A:A,"&lt;="&amp;$K$2))</f>
        <v/>
      </c>
      <c r="E4" s="17">
        <f>IF($B4="","",INDEX(KPIs!F:F,MATCH($B4,KPIs!B:B,0)))</f>
        <v/>
      </c>
      <c r="F4" s="22">
        <f>IF(OR($B4="",E4=0),"",D4/E4*100)</f>
        <v/>
      </c>
      <c r="G4" s="16">
        <f>IF($B4="","",INDEX(KPIs!G:G,MATCH($B4,KPIs!B:B,0)))</f>
        <v/>
      </c>
      <c r="H4" s="23">
        <f>IF($B4="","",INDEX(KPIs!H:H,MATCH($B4,KPIs!B:B,0)))</f>
        <v/>
      </c>
    </row>
    <row r="5">
      <c r="A5" s="18">
        <f>IF(KPIs!A3="","",KPIs!A3)</f>
        <v/>
      </c>
      <c r="B5" s="18">
        <f>IF(KPIs!B3="","",KPIs!B3)</f>
        <v/>
      </c>
      <c r="C5" s="16">
        <f>IF($B5="","",INDEX(KPIs!C:C,MATCH($B5,KPIs!B:B,0)))</f>
        <v/>
      </c>
      <c r="D5" s="17">
        <f>IF($B5="","",SUMIFS('Time Entries'!J:J,'Time Entries'!N:N,$B5,'Time Entries'!A:A,"&gt;="&amp;$J$2,'Time Entries'!A:A,"&lt;="&amp;$K$2))</f>
        <v/>
      </c>
      <c r="E5" s="17">
        <f>IF($B5="","",INDEX(KPIs!F:F,MATCH($B5,KPIs!B:B,0)))</f>
        <v/>
      </c>
      <c r="F5" s="22">
        <f>IF(OR($B5="",E5=0),"",D5/E5*100)</f>
        <v/>
      </c>
      <c r="G5" s="16">
        <f>IF($B5="","",INDEX(KPIs!G:G,MATCH($B5,KPIs!B:B,0)))</f>
        <v/>
      </c>
      <c r="H5" s="23">
        <f>IF($B5="","",INDEX(KPIs!H:H,MATCH($B5,KPIs!B:B,0)))</f>
        <v/>
      </c>
    </row>
    <row r="6">
      <c r="A6" s="18">
        <f>IF(KPIs!A4="","",KPIs!A4)</f>
        <v/>
      </c>
      <c r="B6" s="18">
        <f>IF(KPIs!B4="","",KPIs!B4)</f>
        <v/>
      </c>
      <c r="C6" s="16">
        <f>IF($B6="","",INDEX(KPIs!C:C,MATCH($B6,KPIs!B:B,0)))</f>
        <v/>
      </c>
      <c r="D6" s="17">
        <f>IF($B6="","",SUMIFS('Time Entries'!J:J,'Time Entries'!N:N,$B6,'Time Entries'!A:A,"&gt;="&amp;$J$2,'Time Entries'!A:A,"&lt;="&amp;$K$2))</f>
        <v/>
      </c>
      <c r="E6" s="17">
        <f>IF($B6="","",INDEX(KPIs!F:F,MATCH($B6,KPIs!B:B,0)))</f>
        <v/>
      </c>
      <c r="F6" s="22">
        <f>IF(OR($B6="",E6=0),"",D6/E6*100)</f>
        <v/>
      </c>
      <c r="G6" s="16">
        <f>IF($B6="","",INDEX(KPIs!G:G,MATCH($B6,KPIs!B:B,0)))</f>
        <v/>
      </c>
      <c r="H6" s="23">
        <f>IF($B6="","",INDEX(KPIs!H:H,MATCH($B6,KPIs!B:B,0)))</f>
        <v/>
      </c>
    </row>
    <row r="7">
      <c r="A7" s="18">
        <f>IF(KPIs!A5="","",KPIs!A5)</f>
        <v/>
      </c>
      <c r="B7" s="18">
        <f>IF(KPIs!B5="","",KPIs!B5)</f>
        <v/>
      </c>
      <c r="C7" s="16">
        <f>IF($B7="","",INDEX(KPIs!C:C,MATCH($B7,KPIs!B:B,0)))</f>
        <v/>
      </c>
      <c r="D7" s="17">
        <f>IF($B7="","",SUMIFS('Time Entries'!J:J,'Time Entries'!N:N,$B7,'Time Entries'!A:A,"&gt;="&amp;$J$2,'Time Entries'!A:A,"&lt;="&amp;$K$2))</f>
        <v/>
      </c>
      <c r="E7" s="17">
        <f>IF($B7="","",INDEX(KPIs!F:F,MATCH($B7,KPIs!B:B,0)))</f>
        <v/>
      </c>
      <c r="F7" s="22">
        <f>IF(OR($B7="",E7=0),"",D7/E7*100)</f>
        <v/>
      </c>
      <c r="G7" s="16">
        <f>IF($B7="","",INDEX(KPIs!G:G,MATCH($B7,KPIs!B:B,0)))</f>
        <v/>
      </c>
      <c r="H7" s="23">
        <f>IF($B7="","",INDEX(KPIs!H:H,MATCH($B7,KPIs!B:B,0)))</f>
        <v/>
      </c>
    </row>
    <row r="8">
      <c r="A8" s="18">
        <f>IF(KPIs!A6="","",KPIs!A6)</f>
        <v/>
      </c>
      <c r="B8" s="18">
        <f>IF(KPIs!B6="","",KPIs!B6)</f>
        <v/>
      </c>
      <c r="C8" s="16">
        <f>IF($B8="","",INDEX(KPIs!C:C,MATCH($B8,KPIs!B:B,0)))</f>
        <v/>
      </c>
      <c r="D8" s="17">
        <f>IF($B8="","",SUMIFS('Time Entries'!J:J,'Time Entries'!N:N,$B8,'Time Entries'!A:A,"&gt;="&amp;$J$2,'Time Entries'!A:A,"&lt;="&amp;$K$2))</f>
        <v/>
      </c>
      <c r="E8" s="17">
        <f>IF($B8="","",INDEX(KPIs!F:F,MATCH($B8,KPIs!B:B,0)))</f>
        <v/>
      </c>
      <c r="F8" s="22">
        <f>IF(OR($B8="",E8=0),"",D8/E8*100)</f>
        <v/>
      </c>
      <c r="G8" s="16">
        <f>IF($B8="","",INDEX(KPIs!G:G,MATCH($B8,KPIs!B:B,0)))</f>
        <v/>
      </c>
      <c r="H8" s="23">
        <f>IF($B8="","",INDEX(KPIs!H:H,MATCH($B8,KPIs!B:B,0)))</f>
        <v/>
      </c>
    </row>
    <row r="9">
      <c r="A9" s="18">
        <f>IF(KPIs!A7="","",KPIs!A7)</f>
        <v/>
      </c>
      <c r="B9" s="18">
        <f>IF(KPIs!B7="","",KPIs!B7)</f>
        <v/>
      </c>
      <c r="C9" s="16">
        <f>IF($B9="","",INDEX(KPIs!C:C,MATCH($B9,KPIs!B:B,0)))</f>
        <v/>
      </c>
      <c r="D9" s="17">
        <f>IF($B9="","",SUMIFS('Time Entries'!J:J,'Time Entries'!N:N,$B9,'Time Entries'!A:A,"&gt;="&amp;$J$2,'Time Entries'!A:A,"&lt;="&amp;$K$2))</f>
        <v/>
      </c>
      <c r="E9" s="17">
        <f>IF($B9="","",INDEX(KPIs!F:F,MATCH($B9,KPIs!B:B,0)))</f>
        <v/>
      </c>
      <c r="F9" s="22">
        <f>IF(OR($B9="",E9=0),"",D9/E9*100)</f>
        <v/>
      </c>
      <c r="G9" s="16">
        <f>IF($B9="","",INDEX(KPIs!G:G,MATCH($B9,KPIs!B:B,0)))</f>
        <v/>
      </c>
      <c r="H9" s="23">
        <f>IF($B9="","",INDEX(KPIs!H:H,MATCH($B9,KPIs!B:B,0)))</f>
        <v/>
      </c>
    </row>
    <row r="10">
      <c r="A10" s="18">
        <f>IF(KPIs!A8="","",KPIs!A8)</f>
        <v/>
      </c>
      <c r="B10" s="18">
        <f>IF(KPIs!B8="","",KPIs!B8)</f>
        <v/>
      </c>
      <c r="C10" s="16">
        <f>IF($B10="","",INDEX(KPIs!C:C,MATCH($B10,KPIs!B:B,0)))</f>
        <v/>
      </c>
      <c r="D10" s="17">
        <f>IF($B10="","",SUMIFS('Time Entries'!J:J,'Time Entries'!N:N,$B10,'Time Entries'!A:A,"&gt;="&amp;$J$2,'Time Entries'!A:A,"&lt;="&amp;$K$2))</f>
        <v/>
      </c>
      <c r="E10" s="17">
        <f>IF($B10="","",INDEX(KPIs!F:F,MATCH($B10,KPIs!B:B,0)))</f>
        <v/>
      </c>
      <c r="F10" s="22">
        <f>IF(OR($B10="",E10=0),"",D10/E10*100)</f>
        <v/>
      </c>
      <c r="G10" s="16">
        <f>IF($B10="","",INDEX(KPIs!G:G,MATCH($B10,KPIs!B:B,0)))</f>
        <v/>
      </c>
      <c r="H10" s="23">
        <f>IF($B10="","",INDEX(KPIs!H:H,MATCH($B10,KPIs!B:B,0)))</f>
        <v/>
      </c>
    </row>
    <row r="11">
      <c r="A11" s="18">
        <f>IF(KPIs!A9="","",KPIs!A9)</f>
        <v/>
      </c>
      <c r="B11" s="18">
        <f>IF(KPIs!B9="","",KPIs!B9)</f>
        <v/>
      </c>
      <c r="C11" s="16">
        <f>IF($B11="","",INDEX(KPIs!C:C,MATCH($B11,KPIs!B:B,0)))</f>
        <v/>
      </c>
      <c r="D11" s="17">
        <f>IF($B11="","",SUMIFS('Time Entries'!J:J,'Time Entries'!N:N,$B11,'Time Entries'!A:A,"&gt;="&amp;$J$2,'Time Entries'!A:A,"&lt;="&amp;$K$2))</f>
        <v/>
      </c>
      <c r="E11" s="17">
        <f>IF($B11="","",INDEX(KPIs!F:F,MATCH($B11,KPIs!B:B,0)))</f>
        <v/>
      </c>
      <c r="F11" s="22">
        <f>IF(OR($B11="",E11=0),"",D11/E11*100)</f>
        <v/>
      </c>
      <c r="G11" s="16">
        <f>IF($B11="","",INDEX(KPIs!G:G,MATCH($B11,KPIs!B:B,0)))</f>
        <v/>
      </c>
      <c r="H11" s="23">
        <f>IF($B11="","",INDEX(KPIs!H:H,MATCH($B11,KPIs!B:B,0)))</f>
        <v/>
      </c>
    </row>
    <row r="12">
      <c r="A12" s="18">
        <f>IF(KPIs!A10="","",KPIs!A10)</f>
        <v/>
      </c>
      <c r="B12" s="18">
        <f>IF(KPIs!B10="","",KPIs!B10)</f>
        <v/>
      </c>
      <c r="C12" s="16">
        <f>IF($B12="","",INDEX(KPIs!C:C,MATCH($B12,KPIs!B:B,0)))</f>
        <v/>
      </c>
      <c r="D12" s="17">
        <f>IF($B12="","",SUMIFS('Time Entries'!J:J,'Time Entries'!N:N,$B12,'Time Entries'!A:A,"&gt;="&amp;$J$2,'Time Entries'!A:A,"&lt;="&amp;$K$2))</f>
        <v/>
      </c>
      <c r="E12" s="17">
        <f>IF($B12="","",INDEX(KPIs!F:F,MATCH($B12,KPIs!B:B,0)))</f>
        <v/>
      </c>
      <c r="F12" s="22">
        <f>IF(OR($B12="",E12=0),"",D12/E12*100)</f>
        <v/>
      </c>
      <c r="G12" s="16">
        <f>IF($B12="","",INDEX(KPIs!G:G,MATCH($B12,KPIs!B:B,0)))</f>
        <v/>
      </c>
      <c r="H12" s="23">
        <f>IF($B12="","",INDEX(KPIs!H:H,MATCH($B12,KPIs!B:B,0)))</f>
        <v/>
      </c>
    </row>
    <row r="13">
      <c r="A13" s="18">
        <f>IF(KPIs!A11="","",KPIs!A11)</f>
        <v/>
      </c>
      <c r="B13" s="18">
        <f>IF(KPIs!B11="","",KPIs!B11)</f>
        <v/>
      </c>
      <c r="C13" s="16">
        <f>IF($B13="","",INDEX(KPIs!C:C,MATCH($B13,KPIs!B:B,0)))</f>
        <v/>
      </c>
      <c r="D13" s="17">
        <f>IF($B13="","",SUMIFS('Time Entries'!J:J,'Time Entries'!N:N,$B13,'Time Entries'!A:A,"&gt;="&amp;$J$2,'Time Entries'!A:A,"&lt;="&amp;$K$2))</f>
        <v/>
      </c>
      <c r="E13" s="17">
        <f>IF($B13="","",INDEX(KPIs!F:F,MATCH($B13,KPIs!B:B,0)))</f>
        <v/>
      </c>
      <c r="F13" s="22">
        <f>IF(OR($B13="",E13=0),"",D13/E13*100)</f>
        <v/>
      </c>
      <c r="G13" s="16">
        <f>IF($B13="","",INDEX(KPIs!G:G,MATCH($B13,KPIs!B:B,0)))</f>
        <v/>
      </c>
      <c r="H13" s="23">
        <f>IF($B13="","",INDEX(KPIs!H:H,MATCH($B13,KPIs!B:B,0)))</f>
        <v/>
      </c>
    </row>
    <row r="14">
      <c r="A14" s="18">
        <f>IF(KPIs!A12="","",KPIs!A12)</f>
        <v/>
      </c>
      <c r="B14" s="18">
        <f>IF(KPIs!B12="","",KPIs!B12)</f>
        <v/>
      </c>
      <c r="C14" s="16">
        <f>IF($B14="","",INDEX(KPIs!C:C,MATCH($B14,KPIs!B:B,0)))</f>
        <v/>
      </c>
      <c r="D14" s="17">
        <f>IF($B14="","",SUMIFS('Time Entries'!J:J,'Time Entries'!N:N,$B14,'Time Entries'!A:A,"&gt;="&amp;$J$2,'Time Entries'!A:A,"&lt;="&amp;$K$2))</f>
        <v/>
      </c>
      <c r="E14" s="17">
        <f>IF($B14="","",INDEX(KPIs!F:F,MATCH($B14,KPIs!B:B,0)))</f>
        <v/>
      </c>
      <c r="F14" s="22">
        <f>IF(OR($B14="",E14=0),"",D14/E14*100)</f>
        <v/>
      </c>
      <c r="G14" s="16">
        <f>IF($B14="","",INDEX(KPIs!G:G,MATCH($B14,KPIs!B:B,0)))</f>
        <v/>
      </c>
      <c r="H14" s="23">
        <f>IF($B14="","",INDEX(KPIs!H:H,MATCH($B14,KPIs!B:B,0)))</f>
        <v/>
      </c>
    </row>
    <row r="15">
      <c r="A15" s="18">
        <f>IF(KPIs!A13="","",KPIs!A13)</f>
        <v/>
      </c>
      <c r="B15" s="18">
        <f>IF(KPIs!B13="","",KPIs!B13)</f>
        <v/>
      </c>
      <c r="C15" s="16">
        <f>IF($B15="","",INDEX(KPIs!C:C,MATCH($B15,KPIs!B:B,0)))</f>
        <v/>
      </c>
      <c r="D15" s="17">
        <f>IF($B15="","",SUMIFS('Time Entries'!J:J,'Time Entries'!N:N,$B15,'Time Entries'!A:A,"&gt;="&amp;$J$2,'Time Entries'!A:A,"&lt;="&amp;$K$2))</f>
        <v/>
      </c>
      <c r="E15" s="17">
        <f>IF($B15="","",INDEX(KPIs!F:F,MATCH($B15,KPIs!B:B,0)))</f>
        <v/>
      </c>
      <c r="F15" s="22">
        <f>IF(OR($B15="",E15=0),"",D15/E15*100)</f>
        <v/>
      </c>
      <c r="G15" s="16">
        <f>IF($B15="","",INDEX(KPIs!G:G,MATCH($B15,KPIs!B:B,0)))</f>
        <v/>
      </c>
      <c r="H15" s="23">
        <f>IF($B15="","",INDEX(KPIs!H:H,MATCH($B15,KPIs!B:B,0)))</f>
        <v/>
      </c>
    </row>
    <row r="16">
      <c r="A16" s="18">
        <f>IF(KPIs!A14="","",KPIs!A14)</f>
        <v/>
      </c>
      <c r="B16" s="18">
        <f>IF(KPIs!B14="","",KPIs!B14)</f>
        <v/>
      </c>
      <c r="C16" s="16">
        <f>IF($B16="","",INDEX(KPIs!C:C,MATCH($B16,KPIs!B:B,0)))</f>
        <v/>
      </c>
      <c r="D16" s="17">
        <f>IF($B16="","",SUMIFS('Time Entries'!J:J,'Time Entries'!N:N,$B16,'Time Entries'!A:A,"&gt;="&amp;$J$2,'Time Entries'!A:A,"&lt;="&amp;$K$2))</f>
        <v/>
      </c>
      <c r="E16" s="17">
        <f>IF($B16="","",INDEX(KPIs!F:F,MATCH($B16,KPIs!B:B,0)))</f>
        <v/>
      </c>
      <c r="F16" s="22">
        <f>IF(OR($B16="",E16=0),"",D16/E16*100)</f>
        <v/>
      </c>
      <c r="G16" s="16">
        <f>IF($B16="","",INDEX(KPIs!G:G,MATCH($B16,KPIs!B:B,0)))</f>
        <v/>
      </c>
      <c r="H16" s="23">
        <f>IF($B16="","",INDEX(KPIs!H:H,MATCH($B16,KPIs!B:B,0)))</f>
        <v/>
      </c>
    </row>
    <row r="17">
      <c r="A17" s="18">
        <f>IF(KPIs!A15="","",KPIs!A15)</f>
        <v/>
      </c>
      <c r="B17" s="18">
        <f>IF(KPIs!B15="","",KPIs!B15)</f>
        <v/>
      </c>
      <c r="C17" s="16">
        <f>IF($B17="","",INDEX(KPIs!C:C,MATCH($B17,KPIs!B:B,0)))</f>
        <v/>
      </c>
      <c r="D17" s="17">
        <f>IF($B17="","",SUMIFS('Time Entries'!J:J,'Time Entries'!N:N,$B17,'Time Entries'!A:A,"&gt;="&amp;$J$2,'Time Entries'!A:A,"&lt;="&amp;$K$2))</f>
        <v/>
      </c>
      <c r="E17" s="17">
        <f>IF($B17="","",INDEX(KPIs!F:F,MATCH($B17,KPIs!B:B,0)))</f>
        <v/>
      </c>
      <c r="F17" s="22">
        <f>IF(OR($B17="",E17=0),"",D17/E17*100)</f>
        <v/>
      </c>
      <c r="G17" s="16">
        <f>IF($B17="","",INDEX(KPIs!G:G,MATCH($B17,KPIs!B:B,0)))</f>
        <v/>
      </c>
      <c r="H17" s="23">
        <f>IF($B17="","",INDEX(KPIs!H:H,MATCH($B17,KPIs!B:B,0)))</f>
        <v/>
      </c>
    </row>
    <row r="18">
      <c r="A18" s="18">
        <f>IF(KPIs!A16="","",KPIs!A16)</f>
        <v/>
      </c>
      <c r="B18" s="18">
        <f>IF(KPIs!B16="","",KPIs!B16)</f>
        <v/>
      </c>
      <c r="C18" s="16">
        <f>IF($B18="","",INDEX(KPIs!C:C,MATCH($B18,KPIs!B:B,0)))</f>
        <v/>
      </c>
      <c r="D18" s="17">
        <f>IF($B18="","",SUMIFS('Time Entries'!J:J,'Time Entries'!N:N,$B18,'Time Entries'!A:A,"&gt;="&amp;$J$2,'Time Entries'!A:A,"&lt;="&amp;$K$2))</f>
        <v/>
      </c>
      <c r="E18" s="17">
        <f>IF($B18="","",INDEX(KPIs!F:F,MATCH($B18,KPIs!B:B,0)))</f>
        <v/>
      </c>
      <c r="F18" s="22">
        <f>IF(OR($B18="",E18=0),"",D18/E18*100)</f>
        <v/>
      </c>
      <c r="G18" s="16">
        <f>IF($B18="","",INDEX(KPIs!G:G,MATCH($B18,KPIs!B:B,0)))</f>
        <v/>
      </c>
      <c r="H18" s="23">
        <f>IF($B18="","",INDEX(KPIs!H:H,MATCH($B18,KPIs!B:B,0)))</f>
        <v/>
      </c>
    </row>
    <row r="19">
      <c r="A19" s="18">
        <f>IF(KPIs!A17="","",KPIs!A17)</f>
        <v/>
      </c>
      <c r="B19" s="18">
        <f>IF(KPIs!B17="","",KPIs!B17)</f>
        <v/>
      </c>
      <c r="C19" s="16">
        <f>IF($B19="","",INDEX(KPIs!C:C,MATCH($B19,KPIs!B:B,0)))</f>
        <v/>
      </c>
      <c r="D19" s="17">
        <f>IF($B19="","",SUMIFS('Time Entries'!J:J,'Time Entries'!N:N,$B19,'Time Entries'!A:A,"&gt;="&amp;$J$2,'Time Entries'!A:A,"&lt;="&amp;$K$2))</f>
        <v/>
      </c>
      <c r="E19" s="17">
        <f>IF($B19="","",INDEX(KPIs!F:F,MATCH($B19,KPIs!B:B,0)))</f>
        <v/>
      </c>
      <c r="F19" s="22">
        <f>IF(OR($B19="",E19=0),"",D19/E19*100)</f>
        <v/>
      </c>
      <c r="G19" s="16">
        <f>IF($B19="","",INDEX(KPIs!G:G,MATCH($B19,KPIs!B:B,0)))</f>
        <v/>
      </c>
      <c r="H19" s="23">
        <f>IF($B19="","",INDEX(KPIs!H:H,MATCH($B19,KPIs!B:B,0)))</f>
        <v/>
      </c>
    </row>
    <row r="20">
      <c r="A20" s="18">
        <f>IF(KPIs!A18="","",KPIs!A18)</f>
        <v/>
      </c>
      <c r="B20" s="18">
        <f>IF(KPIs!B18="","",KPIs!B18)</f>
        <v/>
      </c>
      <c r="C20" s="16">
        <f>IF($B20="","",INDEX(KPIs!C:C,MATCH($B20,KPIs!B:B,0)))</f>
        <v/>
      </c>
      <c r="D20" s="17">
        <f>IF($B20="","",SUMIFS('Time Entries'!J:J,'Time Entries'!N:N,$B20,'Time Entries'!A:A,"&gt;="&amp;$J$2,'Time Entries'!A:A,"&lt;="&amp;$K$2))</f>
        <v/>
      </c>
      <c r="E20" s="17">
        <f>IF($B20="","",INDEX(KPIs!F:F,MATCH($B20,KPIs!B:B,0)))</f>
        <v/>
      </c>
      <c r="F20" s="22">
        <f>IF(OR($B20="",E20=0),"",D20/E20*100)</f>
        <v/>
      </c>
      <c r="G20" s="16">
        <f>IF($B20="","",INDEX(KPIs!G:G,MATCH($B20,KPIs!B:B,0)))</f>
        <v/>
      </c>
      <c r="H20" s="23">
        <f>IF($B20="","",INDEX(KPIs!H:H,MATCH($B20,KPIs!B:B,0)))</f>
        <v/>
      </c>
    </row>
    <row r="21">
      <c r="A21" s="18">
        <f>IF(KPIs!A19="","",KPIs!A19)</f>
        <v/>
      </c>
      <c r="B21" s="18">
        <f>IF(KPIs!B19="","",KPIs!B19)</f>
        <v/>
      </c>
      <c r="C21" s="16">
        <f>IF($B21="","",INDEX(KPIs!C:C,MATCH($B21,KPIs!B:B,0)))</f>
        <v/>
      </c>
      <c r="D21" s="17">
        <f>IF($B21="","",SUMIFS('Time Entries'!J:J,'Time Entries'!N:N,$B21,'Time Entries'!A:A,"&gt;="&amp;$J$2,'Time Entries'!A:A,"&lt;="&amp;$K$2))</f>
        <v/>
      </c>
      <c r="E21" s="17">
        <f>IF($B21="","",INDEX(KPIs!F:F,MATCH($B21,KPIs!B:B,0)))</f>
        <v/>
      </c>
      <c r="F21" s="22">
        <f>IF(OR($B21="",E21=0),"",D21/E21*100)</f>
        <v/>
      </c>
      <c r="G21" s="16">
        <f>IF($B21="","",INDEX(KPIs!G:G,MATCH($B21,KPIs!B:B,0)))</f>
        <v/>
      </c>
      <c r="H21" s="23">
        <f>IF($B21="","",INDEX(KPIs!H:H,MATCH($B21,KPIs!B:B,0)))</f>
        <v/>
      </c>
    </row>
    <row r="22">
      <c r="A22" s="18">
        <f>IF(KPIs!A20="","",KPIs!A20)</f>
        <v/>
      </c>
      <c r="B22" s="18">
        <f>IF(KPIs!B20="","",KPIs!B20)</f>
        <v/>
      </c>
      <c r="C22" s="16">
        <f>IF($B22="","",INDEX(KPIs!C:C,MATCH($B22,KPIs!B:B,0)))</f>
        <v/>
      </c>
      <c r="D22" s="17">
        <f>IF($B22="","",SUMIFS('Time Entries'!J:J,'Time Entries'!N:N,$B22,'Time Entries'!A:A,"&gt;="&amp;$J$2,'Time Entries'!A:A,"&lt;="&amp;$K$2))</f>
        <v/>
      </c>
      <c r="E22" s="17">
        <f>IF($B22="","",INDEX(KPIs!F:F,MATCH($B22,KPIs!B:B,0)))</f>
        <v/>
      </c>
      <c r="F22" s="22">
        <f>IF(OR($B22="",E22=0),"",D22/E22*100)</f>
        <v/>
      </c>
      <c r="G22" s="16">
        <f>IF($B22="","",INDEX(KPIs!G:G,MATCH($B22,KPIs!B:B,0)))</f>
        <v/>
      </c>
      <c r="H22" s="23">
        <f>IF($B22="","",INDEX(KPIs!H:H,MATCH($B22,KPIs!B:B,0)))</f>
        <v/>
      </c>
    </row>
    <row r="23">
      <c r="A23" s="18">
        <f>IF(KPIs!A21="","",KPIs!A21)</f>
        <v/>
      </c>
      <c r="B23" s="18">
        <f>IF(KPIs!B21="","",KPIs!B21)</f>
        <v/>
      </c>
      <c r="C23" s="16">
        <f>IF($B23="","",INDEX(KPIs!C:C,MATCH($B23,KPIs!B:B,0)))</f>
        <v/>
      </c>
      <c r="D23" s="17">
        <f>IF($B23="","",SUMIFS('Time Entries'!J:J,'Time Entries'!N:N,$B23,'Time Entries'!A:A,"&gt;="&amp;$J$2,'Time Entries'!A:A,"&lt;="&amp;$K$2))</f>
        <v/>
      </c>
      <c r="E23" s="17">
        <f>IF($B23="","",INDEX(KPIs!F:F,MATCH($B23,KPIs!B:B,0)))</f>
        <v/>
      </c>
      <c r="F23" s="22">
        <f>IF(OR($B23="",E23=0),"",D23/E23*100)</f>
        <v/>
      </c>
      <c r="G23" s="16">
        <f>IF($B23="","",INDEX(KPIs!G:G,MATCH($B23,KPIs!B:B,0)))</f>
        <v/>
      </c>
      <c r="H23" s="23">
        <f>IF($B23="","",INDEX(KPIs!H:H,MATCH($B23,KPIs!B:B,0)))</f>
        <v/>
      </c>
    </row>
    <row r="24">
      <c r="A24" s="18">
        <f>IF(KPIs!A22="","",KPIs!A22)</f>
        <v/>
      </c>
      <c r="B24" s="18">
        <f>IF(KPIs!B22="","",KPIs!B22)</f>
        <v/>
      </c>
      <c r="C24" s="16">
        <f>IF($B24="","",INDEX(KPIs!C:C,MATCH($B24,KPIs!B:B,0)))</f>
        <v/>
      </c>
      <c r="D24" s="17">
        <f>IF($B24="","",SUMIFS('Time Entries'!J:J,'Time Entries'!N:N,$B24,'Time Entries'!A:A,"&gt;="&amp;$J$2,'Time Entries'!A:A,"&lt;="&amp;$K$2))</f>
        <v/>
      </c>
      <c r="E24" s="17">
        <f>IF($B24="","",INDEX(KPIs!F:F,MATCH($B24,KPIs!B:B,0)))</f>
        <v/>
      </c>
      <c r="F24" s="22">
        <f>IF(OR($B24="",E24=0),"",D24/E24*100)</f>
        <v/>
      </c>
      <c r="G24" s="16">
        <f>IF($B24="","",INDEX(KPIs!G:G,MATCH($B24,KPIs!B:B,0)))</f>
        <v/>
      </c>
      <c r="H24" s="23">
        <f>IF($B24="","",INDEX(KPIs!H:H,MATCH($B24,KPIs!B:B,0)))</f>
        <v/>
      </c>
    </row>
    <row r="25">
      <c r="A25" s="18">
        <f>IF(KPIs!A23="","",KPIs!A23)</f>
        <v/>
      </c>
      <c r="B25" s="18">
        <f>IF(KPIs!B23="","",KPIs!B23)</f>
        <v/>
      </c>
      <c r="C25" s="16">
        <f>IF($B25="","",INDEX(KPIs!C:C,MATCH($B25,KPIs!B:B,0)))</f>
        <v/>
      </c>
      <c r="D25" s="17">
        <f>IF($B25="","",SUMIFS('Time Entries'!J:J,'Time Entries'!N:N,$B25,'Time Entries'!A:A,"&gt;="&amp;$J$2,'Time Entries'!A:A,"&lt;="&amp;$K$2))</f>
        <v/>
      </c>
      <c r="E25" s="17">
        <f>IF($B25="","",INDEX(KPIs!F:F,MATCH($B25,KPIs!B:B,0)))</f>
        <v/>
      </c>
      <c r="F25" s="22">
        <f>IF(OR($B25="",E25=0),"",D25/E25*100)</f>
        <v/>
      </c>
      <c r="G25" s="16">
        <f>IF($B25="","",INDEX(KPIs!G:G,MATCH($B25,KPIs!B:B,0)))</f>
        <v/>
      </c>
      <c r="H25" s="23">
        <f>IF($B25="","",INDEX(KPIs!H:H,MATCH($B25,KPIs!B:B,0)))</f>
        <v/>
      </c>
    </row>
    <row r="26">
      <c r="A26" s="18">
        <f>IF(KPIs!A24="","",KPIs!A24)</f>
        <v/>
      </c>
      <c r="B26" s="18">
        <f>IF(KPIs!B24="","",KPIs!B24)</f>
        <v/>
      </c>
      <c r="C26" s="16">
        <f>IF($B26="","",INDEX(KPIs!C:C,MATCH($B26,KPIs!B:B,0)))</f>
        <v/>
      </c>
      <c r="D26" s="17">
        <f>IF($B26="","",SUMIFS('Time Entries'!J:J,'Time Entries'!N:N,$B26,'Time Entries'!A:A,"&gt;="&amp;$J$2,'Time Entries'!A:A,"&lt;="&amp;$K$2))</f>
        <v/>
      </c>
      <c r="E26" s="17">
        <f>IF($B26="","",INDEX(KPIs!F:F,MATCH($B26,KPIs!B:B,0)))</f>
        <v/>
      </c>
      <c r="F26" s="22">
        <f>IF(OR($B26="",E26=0),"",D26/E26*100)</f>
        <v/>
      </c>
      <c r="G26" s="16">
        <f>IF($B26="","",INDEX(KPIs!G:G,MATCH($B26,KPIs!B:B,0)))</f>
        <v/>
      </c>
      <c r="H26" s="23">
        <f>IF($B26="","",INDEX(KPIs!H:H,MATCH($B26,KPIs!B:B,0)))</f>
        <v/>
      </c>
    </row>
    <row r="27">
      <c r="A27" s="18">
        <f>IF(KPIs!A25="","",KPIs!A25)</f>
        <v/>
      </c>
      <c r="B27" s="18">
        <f>IF(KPIs!B25="","",KPIs!B25)</f>
        <v/>
      </c>
      <c r="C27" s="16">
        <f>IF($B27="","",INDEX(KPIs!C:C,MATCH($B27,KPIs!B:B,0)))</f>
        <v/>
      </c>
      <c r="D27" s="17">
        <f>IF($B27="","",SUMIFS('Time Entries'!J:J,'Time Entries'!N:N,$B27,'Time Entries'!A:A,"&gt;="&amp;$J$2,'Time Entries'!A:A,"&lt;="&amp;$K$2))</f>
        <v/>
      </c>
      <c r="E27" s="17">
        <f>IF($B27="","",INDEX(KPIs!F:F,MATCH($B27,KPIs!B:B,0)))</f>
        <v/>
      </c>
      <c r="F27" s="22">
        <f>IF(OR($B27="",E27=0),"",D27/E27*100)</f>
        <v/>
      </c>
      <c r="G27" s="16">
        <f>IF($B27="","",INDEX(KPIs!G:G,MATCH($B27,KPIs!B:B,0)))</f>
        <v/>
      </c>
      <c r="H27" s="23">
        <f>IF($B27="","",INDEX(KPIs!H:H,MATCH($B27,KPIs!B:B,0)))</f>
        <v/>
      </c>
    </row>
    <row r="28">
      <c r="A28" s="18">
        <f>IF(KPIs!A26="","",KPIs!A26)</f>
        <v/>
      </c>
      <c r="B28" s="18">
        <f>IF(KPIs!B26="","",KPIs!B26)</f>
        <v/>
      </c>
      <c r="C28" s="16">
        <f>IF($B28="","",INDEX(KPIs!C:C,MATCH($B28,KPIs!B:B,0)))</f>
        <v/>
      </c>
      <c r="D28" s="17">
        <f>IF($B28="","",SUMIFS('Time Entries'!J:J,'Time Entries'!N:N,$B28,'Time Entries'!A:A,"&gt;="&amp;$J$2,'Time Entries'!A:A,"&lt;="&amp;$K$2))</f>
        <v/>
      </c>
      <c r="E28" s="17">
        <f>IF($B28="","",INDEX(KPIs!F:F,MATCH($B28,KPIs!B:B,0)))</f>
        <v/>
      </c>
      <c r="F28" s="22">
        <f>IF(OR($B28="",E28=0),"",D28/E28*100)</f>
        <v/>
      </c>
      <c r="G28" s="16">
        <f>IF($B28="","",INDEX(KPIs!G:G,MATCH($B28,KPIs!B:B,0)))</f>
        <v/>
      </c>
      <c r="H28" s="23">
        <f>IF($B28="","",INDEX(KPIs!H:H,MATCH($B28,KPIs!B:B,0)))</f>
        <v/>
      </c>
    </row>
    <row r="29">
      <c r="A29" s="18">
        <f>IF(KPIs!A27="","",KPIs!A27)</f>
        <v/>
      </c>
      <c r="B29" s="18">
        <f>IF(KPIs!B27="","",KPIs!B27)</f>
        <v/>
      </c>
      <c r="C29" s="16">
        <f>IF($B29="","",INDEX(KPIs!C:C,MATCH($B29,KPIs!B:B,0)))</f>
        <v/>
      </c>
      <c r="D29" s="17">
        <f>IF($B29="","",SUMIFS('Time Entries'!J:J,'Time Entries'!N:N,$B29,'Time Entries'!A:A,"&gt;="&amp;$J$2,'Time Entries'!A:A,"&lt;="&amp;$K$2))</f>
        <v/>
      </c>
      <c r="E29" s="17">
        <f>IF($B29="","",INDEX(KPIs!F:F,MATCH($B29,KPIs!B:B,0)))</f>
        <v/>
      </c>
      <c r="F29" s="22">
        <f>IF(OR($B29="",E29=0),"",D29/E29*100)</f>
        <v/>
      </c>
      <c r="G29" s="16">
        <f>IF($B29="","",INDEX(KPIs!G:G,MATCH($B29,KPIs!B:B,0)))</f>
        <v/>
      </c>
      <c r="H29" s="23">
        <f>IF($B29="","",INDEX(KPIs!H:H,MATCH($B29,KPIs!B:B,0)))</f>
        <v/>
      </c>
    </row>
    <row r="30">
      <c r="A30" s="18">
        <f>IF(KPIs!A28="","",KPIs!A28)</f>
        <v/>
      </c>
      <c r="B30" s="18">
        <f>IF(KPIs!B28="","",KPIs!B28)</f>
        <v/>
      </c>
      <c r="C30" s="16">
        <f>IF($B30="","",INDEX(KPIs!C:C,MATCH($B30,KPIs!B:B,0)))</f>
        <v/>
      </c>
      <c r="D30" s="17">
        <f>IF($B30="","",SUMIFS('Time Entries'!J:J,'Time Entries'!N:N,$B30,'Time Entries'!A:A,"&gt;="&amp;$J$2,'Time Entries'!A:A,"&lt;="&amp;$K$2))</f>
        <v/>
      </c>
      <c r="E30" s="17">
        <f>IF($B30="","",INDEX(KPIs!F:F,MATCH($B30,KPIs!B:B,0)))</f>
        <v/>
      </c>
      <c r="F30" s="22">
        <f>IF(OR($B30="",E30=0),"",D30/E30*100)</f>
        <v/>
      </c>
      <c r="G30" s="16">
        <f>IF($B30="","",INDEX(KPIs!G:G,MATCH($B30,KPIs!B:B,0)))</f>
        <v/>
      </c>
      <c r="H30" s="23">
        <f>IF($B30="","",INDEX(KPIs!H:H,MATCH($B30,KPIs!B:B,0)))</f>
        <v/>
      </c>
    </row>
    <row r="31">
      <c r="A31" s="18">
        <f>IF(KPIs!A29="","",KPIs!A29)</f>
        <v/>
      </c>
      <c r="B31" s="18">
        <f>IF(KPIs!B29="","",KPIs!B29)</f>
        <v/>
      </c>
      <c r="C31" s="16">
        <f>IF($B31="","",INDEX(KPIs!C:C,MATCH($B31,KPIs!B:B,0)))</f>
        <v/>
      </c>
      <c r="D31" s="17">
        <f>IF($B31="","",SUMIFS('Time Entries'!J:J,'Time Entries'!N:N,$B31,'Time Entries'!A:A,"&gt;="&amp;$J$2,'Time Entries'!A:A,"&lt;="&amp;$K$2))</f>
        <v/>
      </c>
      <c r="E31" s="17">
        <f>IF($B31="","",INDEX(KPIs!F:F,MATCH($B31,KPIs!B:B,0)))</f>
        <v/>
      </c>
      <c r="F31" s="22">
        <f>IF(OR($B31="",E31=0),"",D31/E31*100)</f>
        <v/>
      </c>
      <c r="G31" s="16">
        <f>IF($B31="","",INDEX(KPIs!G:G,MATCH($B31,KPIs!B:B,0)))</f>
        <v/>
      </c>
      <c r="H31" s="23">
        <f>IF($B31="","",INDEX(KPIs!H:H,MATCH($B31,KPIs!B:B,0)))</f>
        <v/>
      </c>
    </row>
    <row r="32">
      <c r="A32" s="18">
        <f>IF(KPIs!A30="","",KPIs!A30)</f>
        <v/>
      </c>
      <c r="B32" s="18">
        <f>IF(KPIs!B30="","",KPIs!B30)</f>
        <v/>
      </c>
      <c r="C32" s="16">
        <f>IF($B32="","",INDEX(KPIs!C:C,MATCH($B32,KPIs!B:B,0)))</f>
        <v/>
      </c>
      <c r="D32" s="17">
        <f>IF($B32="","",SUMIFS('Time Entries'!J:J,'Time Entries'!N:N,$B32,'Time Entries'!A:A,"&gt;="&amp;$J$2,'Time Entries'!A:A,"&lt;="&amp;$K$2))</f>
        <v/>
      </c>
      <c r="E32" s="17">
        <f>IF($B32="","",INDEX(KPIs!F:F,MATCH($B32,KPIs!B:B,0)))</f>
        <v/>
      </c>
      <c r="F32" s="22">
        <f>IF(OR($B32="",E32=0),"",D32/E32*100)</f>
        <v/>
      </c>
      <c r="G32" s="16">
        <f>IF($B32="","",INDEX(KPIs!G:G,MATCH($B32,KPIs!B:B,0)))</f>
        <v/>
      </c>
      <c r="H32" s="23">
        <f>IF($B32="","",INDEX(KPIs!H:H,MATCH($B32,KPIs!B:B,0)))</f>
        <v/>
      </c>
    </row>
    <row r="33">
      <c r="A33" s="18">
        <f>IF(KPIs!A31="","",KPIs!A31)</f>
        <v/>
      </c>
      <c r="B33" s="18">
        <f>IF(KPIs!B31="","",KPIs!B31)</f>
        <v/>
      </c>
      <c r="C33" s="16">
        <f>IF($B33="","",INDEX(KPIs!C:C,MATCH($B33,KPIs!B:B,0)))</f>
        <v/>
      </c>
      <c r="D33" s="17">
        <f>IF($B33="","",SUMIFS('Time Entries'!J:J,'Time Entries'!N:N,$B33,'Time Entries'!A:A,"&gt;="&amp;$J$2,'Time Entries'!A:A,"&lt;="&amp;$K$2))</f>
        <v/>
      </c>
      <c r="E33" s="17">
        <f>IF($B33="","",INDEX(KPIs!F:F,MATCH($B33,KPIs!B:B,0)))</f>
        <v/>
      </c>
      <c r="F33" s="22">
        <f>IF(OR($B33="",E33=0),"",D33/E33*100)</f>
        <v/>
      </c>
      <c r="G33" s="16">
        <f>IF($B33="","",INDEX(KPIs!G:G,MATCH($B33,KPIs!B:B,0)))</f>
        <v/>
      </c>
      <c r="H33" s="23">
        <f>IF($B33="","",INDEX(KPIs!H:H,MATCH($B33,KPIs!B:B,0)))</f>
        <v/>
      </c>
    </row>
    <row r="34">
      <c r="A34" s="18">
        <f>IF(KPIs!A32="","",KPIs!A32)</f>
        <v/>
      </c>
      <c r="B34" s="18">
        <f>IF(KPIs!B32="","",KPIs!B32)</f>
        <v/>
      </c>
      <c r="C34" s="16">
        <f>IF($B34="","",INDEX(KPIs!C:C,MATCH($B34,KPIs!B:B,0)))</f>
        <v/>
      </c>
      <c r="D34" s="17">
        <f>IF($B34="","",SUMIFS('Time Entries'!J:J,'Time Entries'!N:N,$B34,'Time Entries'!A:A,"&gt;="&amp;$J$2,'Time Entries'!A:A,"&lt;="&amp;$K$2))</f>
        <v/>
      </c>
      <c r="E34" s="17">
        <f>IF($B34="","",INDEX(KPIs!F:F,MATCH($B34,KPIs!B:B,0)))</f>
        <v/>
      </c>
      <c r="F34" s="22">
        <f>IF(OR($B34="",E34=0),"",D34/E34*100)</f>
        <v/>
      </c>
      <c r="G34" s="16">
        <f>IF($B34="","",INDEX(KPIs!G:G,MATCH($B34,KPIs!B:B,0)))</f>
        <v/>
      </c>
      <c r="H34" s="23">
        <f>IF($B34="","",INDEX(KPIs!H:H,MATCH($B34,KPIs!B:B,0)))</f>
        <v/>
      </c>
    </row>
    <row r="35">
      <c r="A35" s="18">
        <f>IF(KPIs!A33="","",KPIs!A33)</f>
        <v/>
      </c>
      <c r="B35" s="18">
        <f>IF(KPIs!B33="","",KPIs!B33)</f>
        <v/>
      </c>
      <c r="C35" s="16">
        <f>IF($B35="","",INDEX(KPIs!C:C,MATCH($B35,KPIs!B:B,0)))</f>
        <v/>
      </c>
      <c r="D35" s="17">
        <f>IF($B35="","",SUMIFS('Time Entries'!J:J,'Time Entries'!N:N,$B35,'Time Entries'!A:A,"&gt;="&amp;$J$2,'Time Entries'!A:A,"&lt;="&amp;$K$2))</f>
        <v/>
      </c>
      <c r="E35" s="17">
        <f>IF($B35="","",INDEX(KPIs!F:F,MATCH($B35,KPIs!B:B,0)))</f>
        <v/>
      </c>
      <c r="F35" s="22">
        <f>IF(OR($B35="",E35=0),"",D35/E35*100)</f>
        <v/>
      </c>
      <c r="G35" s="16">
        <f>IF($B35="","",INDEX(KPIs!G:G,MATCH($B35,KPIs!B:B,0)))</f>
        <v/>
      </c>
      <c r="H35" s="23">
        <f>IF($B35="","",INDEX(KPIs!H:H,MATCH($B35,KPIs!B:B,0)))</f>
        <v/>
      </c>
    </row>
    <row r="36">
      <c r="A36" s="18">
        <f>IF(KPIs!A34="","",KPIs!A34)</f>
        <v/>
      </c>
      <c r="B36" s="18">
        <f>IF(KPIs!B34="","",KPIs!B34)</f>
        <v/>
      </c>
      <c r="C36" s="16">
        <f>IF($B36="","",INDEX(KPIs!C:C,MATCH($B36,KPIs!B:B,0)))</f>
        <v/>
      </c>
      <c r="D36" s="17">
        <f>IF($B36="","",SUMIFS('Time Entries'!J:J,'Time Entries'!N:N,$B36,'Time Entries'!A:A,"&gt;="&amp;$J$2,'Time Entries'!A:A,"&lt;="&amp;$K$2))</f>
        <v/>
      </c>
      <c r="E36" s="17">
        <f>IF($B36="","",INDEX(KPIs!F:F,MATCH($B36,KPIs!B:B,0)))</f>
        <v/>
      </c>
      <c r="F36" s="22">
        <f>IF(OR($B36="",E36=0),"",D36/E36*100)</f>
        <v/>
      </c>
      <c r="G36" s="16">
        <f>IF($B36="","",INDEX(KPIs!G:G,MATCH($B36,KPIs!B:B,0)))</f>
        <v/>
      </c>
      <c r="H36" s="23">
        <f>IF($B36="","",INDEX(KPIs!H:H,MATCH($B36,KPIs!B:B,0)))</f>
        <v/>
      </c>
    </row>
    <row r="37">
      <c r="A37" s="18">
        <f>IF(KPIs!A35="","",KPIs!A35)</f>
        <v/>
      </c>
      <c r="B37" s="18">
        <f>IF(KPIs!B35="","",KPIs!B35)</f>
        <v/>
      </c>
      <c r="C37" s="16">
        <f>IF($B37="","",INDEX(KPIs!C:C,MATCH($B37,KPIs!B:B,0)))</f>
        <v/>
      </c>
      <c r="D37" s="17">
        <f>IF($B37="","",SUMIFS('Time Entries'!J:J,'Time Entries'!N:N,$B37,'Time Entries'!A:A,"&gt;="&amp;$J$2,'Time Entries'!A:A,"&lt;="&amp;$K$2))</f>
        <v/>
      </c>
      <c r="E37" s="17">
        <f>IF($B37="","",INDEX(KPIs!F:F,MATCH($B37,KPIs!B:B,0)))</f>
        <v/>
      </c>
      <c r="F37" s="22">
        <f>IF(OR($B37="",E37=0),"",D37/E37*100)</f>
        <v/>
      </c>
      <c r="G37" s="16">
        <f>IF($B37="","",INDEX(KPIs!G:G,MATCH($B37,KPIs!B:B,0)))</f>
        <v/>
      </c>
      <c r="H37" s="23">
        <f>IF($B37="","",INDEX(KPIs!H:H,MATCH($B37,KPIs!B:B,0)))</f>
        <v/>
      </c>
    </row>
    <row r="38">
      <c r="A38" s="18">
        <f>IF(KPIs!A36="","",KPIs!A36)</f>
        <v/>
      </c>
      <c r="B38" s="18">
        <f>IF(KPIs!B36="","",KPIs!B36)</f>
        <v/>
      </c>
      <c r="C38" s="16">
        <f>IF($B38="","",INDEX(KPIs!C:C,MATCH($B38,KPIs!B:B,0)))</f>
        <v/>
      </c>
      <c r="D38" s="17">
        <f>IF($B38="","",SUMIFS('Time Entries'!J:J,'Time Entries'!N:N,$B38,'Time Entries'!A:A,"&gt;="&amp;$J$2,'Time Entries'!A:A,"&lt;="&amp;$K$2))</f>
        <v/>
      </c>
      <c r="E38" s="17">
        <f>IF($B38="","",INDEX(KPIs!F:F,MATCH($B38,KPIs!B:B,0)))</f>
        <v/>
      </c>
      <c r="F38" s="22">
        <f>IF(OR($B38="",E38=0),"",D38/E38*100)</f>
        <v/>
      </c>
      <c r="G38" s="16">
        <f>IF($B38="","",INDEX(KPIs!G:G,MATCH($B38,KPIs!B:B,0)))</f>
        <v/>
      </c>
      <c r="H38" s="23">
        <f>IF($B38="","",INDEX(KPIs!H:H,MATCH($B38,KPIs!B:B,0)))</f>
        <v/>
      </c>
    </row>
    <row r="39">
      <c r="A39" s="18">
        <f>IF(KPIs!A37="","",KPIs!A37)</f>
        <v/>
      </c>
      <c r="B39" s="18">
        <f>IF(KPIs!B37="","",KPIs!B37)</f>
        <v/>
      </c>
      <c r="C39" s="16">
        <f>IF($B39="","",INDEX(KPIs!C:C,MATCH($B39,KPIs!B:B,0)))</f>
        <v/>
      </c>
      <c r="D39" s="17">
        <f>IF($B39="","",SUMIFS('Time Entries'!J:J,'Time Entries'!N:N,$B39,'Time Entries'!A:A,"&gt;="&amp;$J$2,'Time Entries'!A:A,"&lt;="&amp;$K$2))</f>
        <v/>
      </c>
      <c r="E39" s="17">
        <f>IF($B39="","",INDEX(KPIs!F:F,MATCH($B39,KPIs!B:B,0)))</f>
        <v/>
      </c>
      <c r="F39" s="22">
        <f>IF(OR($B39="",E39=0),"",D39/E39*100)</f>
        <v/>
      </c>
      <c r="G39" s="16">
        <f>IF($B39="","",INDEX(KPIs!G:G,MATCH($B39,KPIs!B:B,0)))</f>
        <v/>
      </c>
      <c r="H39" s="23">
        <f>IF($B39="","",INDEX(KPIs!H:H,MATCH($B39,KPIs!B:B,0)))</f>
        <v/>
      </c>
    </row>
    <row r="40">
      <c r="A40" s="18">
        <f>IF(KPIs!A38="","",KPIs!A38)</f>
        <v/>
      </c>
      <c r="B40" s="18">
        <f>IF(KPIs!B38="","",KPIs!B38)</f>
        <v/>
      </c>
      <c r="C40" s="16">
        <f>IF($B40="","",INDEX(KPIs!C:C,MATCH($B40,KPIs!B:B,0)))</f>
        <v/>
      </c>
      <c r="D40" s="17">
        <f>IF($B40="","",SUMIFS('Time Entries'!J:J,'Time Entries'!N:N,$B40,'Time Entries'!A:A,"&gt;="&amp;$J$2,'Time Entries'!A:A,"&lt;="&amp;$K$2))</f>
        <v/>
      </c>
      <c r="E40" s="17">
        <f>IF($B40="","",INDEX(KPIs!F:F,MATCH($B40,KPIs!B:B,0)))</f>
        <v/>
      </c>
      <c r="F40" s="22">
        <f>IF(OR($B40="",E40=0),"",D40/E40*100)</f>
        <v/>
      </c>
      <c r="G40" s="16">
        <f>IF($B40="","",INDEX(KPIs!G:G,MATCH($B40,KPIs!B:B,0)))</f>
        <v/>
      </c>
      <c r="H40" s="23">
        <f>IF($B40="","",INDEX(KPIs!H:H,MATCH($B40,KPIs!B:B,0)))</f>
        <v/>
      </c>
    </row>
    <row r="41">
      <c r="A41" s="18">
        <f>IF(KPIs!A39="","",KPIs!A39)</f>
        <v/>
      </c>
      <c r="B41" s="18">
        <f>IF(KPIs!B39="","",KPIs!B39)</f>
        <v/>
      </c>
      <c r="C41" s="16">
        <f>IF($B41="","",INDEX(KPIs!C:C,MATCH($B41,KPIs!B:B,0)))</f>
        <v/>
      </c>
      <c r="D41" s="17">
        <f>IF($B41="","",SUMIFS('Time Entries'!J:J,'Time Entries'!N:N,$B41,'Time Entries'!A:A,"&gt;="&amp;$J$2,'Time Entries'!A:A,"&lt;="&amp;$K$2))</f>
        <v/>
      </c>
      <c r="E41" s="17">
        <f>IF($B41="","",INDEX(KPIs!F:F,MATCH($B41,KPIs!B:B,0)))</f>
        <v/>
      </c>
      <c r="F41" s="22">
        <f>IF(OR($B41="",E41=0),"",D41/E41*100)</f>
        <v/>
      </c>
      <c r="G41" s="16">
        <f>IF($B41="","",INDEX(KPIs!G:G,MATCH($B41,KPIs!B:B,0)))</f>
        <v/>
      </c>
      <c r="H41" s="23">
        <f>IF($B41="","",INDEX(KPIs!H:H,MATCH($B41,KPIs!B:B,0)))</f>
        <v/>
      </c>
    </row>
    <row r="42">
      <c r="A42" s="18">
        <f>IF(KPIs!A40="","",KPIs!A40)</f>
        <v/>
      </c>
      <c r="B42" s="18">
        <f>IF(KPIs!B40="","",KPIs!B40)</f>
        <v/>
      </c>
      <c r="C42" s="16">
        <f>IF($B42="","",INDEX(KPIs!C:C,MATCH($B42,KPIs!B:B,0)))</f>
        <v/>
      </c>
      <c r="D42" s="17">
        <f>IF($B42="","",SUMIFS('Time Entries'!J:J,'Time Entries'!N:N,$B42,'Time Entries'!A:A,"&gt;="&amp;$J$2,'Time Entries'!A:A,"&lt;="&amp;$K$2))</f>
        <v/>
      </c>
      <c r="E42" s="17">
        <f>IF($B42="","",INDEX(KPIs!F:F,MATCH($B42,KPIs!B:B,0)))</f>
        <v/>
      </c>
      <c r="F42" s="22">
        <f>IF(OR($B42="",E42=0),"",D42/E42*100)</f>
        <v/>
      </c>
      <c r="G42" s="16">
        <f>IF($B42="","",INDEX(KPIs!G:G,MATCH($B42,KPIs!B:B,0)))</f>
        <v/>
      </c>
      <c r="H42" s="23">
        <f>IF($B42="","",INDEX(KPIs!H:H,MATCH($B42,KPIs!B:B,0)))</f>
        <v/>
      </c>
    </row>
    <row r="43">
      <c r="A43" s="18">
        <f>IF(KPIs!A41="","",KPIs!A41)</f>
        <v/>
      </c>
      <c r="B43" s="18">
        <f>IF(KPIs!B41="","",KPIs!B41)</f>
        <v/>
      </c>
      <c r="C43" s="16">
        <f>IF($B43="","",INDEX(KPIs!C:C,MATCH($B43,KPIs!B:B,0)))</f>
        <v/>
      </c>
      <c r="D43" s="17">
        <f>IF($B43="","",SUMIFS('Time Entries'!J:J,'Time Entries'!N:N,$B43,'Time Entries'!A:A,"&gt;="&amp;$J$2,'Time Entries'!A:A,"&lt;="&amp;$K$2))</f>
        <v/>
      </c>
      <c r="E43" s="17">
        <f>IF($B43="","",INDEX(KPIs!F:F,MATCH($B43,KPIs!B:B,0)))</f>
        <v/>
      </c>
      <c r="F43" s="22">
        <f>IF(OR($B43="",E43=0),"",D43/E43*100)</f>
        <v/>
      </c>
      <c r="G43" s="16">
        <f>IF($B43="","",INDEX(KPIs!G:G,MATCH($B43,KPIs!B:B,0)))</f>
        <v/>
      </c>
      <c r="H43" s="23">
        <f>IF($B43="","",INDEX(KPIs!H:H,MATCH($B43,KPIs!B:B,0)))</f>
        <v/>
      </c>
    </row>
    <row r="44">
      <c r="A44" s="18">
        <f>IF(KPIs!A42="","",KPIs!A42)</f>
        <v/>
      </c>
      <c r="B44" s="18">
        <f>IF(KPIs!B42="","",KPIs!B42)</f>
        <v/>
      </c>
      <c r="C44" s="16">
        <f>IF($B44="","",INDEX(KPIs!C:C,MATCH($B44,KPIs!B:B,0)))</f>
        <v/>
      </c>
      <c r="D44" s="17">
        <f>IF($B44="","",SUMIFS('Time Entries'!J:J,'Time Entries'!N:N,$B44,'Time Entries'!A:A,"&gt;="&amp;$J$2,'Time Entries'!A:A,"&lt;="&amp;$K$2))</f>
        <v/>
      </c>
      <c r="E44" s="17">
        <f>IF($B44="","",INDEX(KPIs!F:F,MATCH($B44,KPIs!B:B,0)))</f>
        <v/>
      </c>
      <c r="F44" s="22">
        <f>IF(OR($B44="",E44=0),"",D44/E44*100)</f>
        <v/>
      </c>
      <c r="G44" s="16">
        <f>IF($B44="","",INDEX(KPIs!G:G,MATCH($B44,KPIs!B:B,0)))</f>
        <v/>
      </c>
      <c r="H44" s="23">
        <f>IF($B44="","",INDEX(KPIs!H:H,MATCH($B44,KPIs!B:B,0)))</f>
        <v/>
      </c>
    </row>
    <row r="45">
      <c r="A45" s="18">
        <f>IF(KPIs!A43="","",KPIs!A43)</f>
        <v/>
      </c>
      <c r="B45" s="18">
        <f>IF(KPIs!B43="","",KPIs!B43)</f>
        <v/>
      </c>
      <c r="C45" s="16">
        <f>IF($B45="","",INDEX(KPIs!C:C,MATCH($B45,KPIs!B:B,0)))</f>
        <v/>
      </c>
      <c r="D45" s="17">
        <f>IF($B45="","",SUMIFS('Time Entries'!J:J,'Time Entries'!N:N,$B45,'Time Entries'!A:A,"&gt;="&amp;$J$2,'Time Entries'!A:A,"&lt;="&amp;$K$2))</f>
        <v/>
      </c>
      <c r="E45" s="17">
        <f>IF($B45="","",INDEX(KPIs!F:F,MATCH($B45,KPIs!B:B,0)))</f>
        <v/>
      </c>
      <c r="F45" s="22">
        <f>IF(OR($B45="",E45=0),"",D45/E45*100)</f>
        <v/>
      </c>
      <c r="G45" s="16">
        <f>IF($B45="","",INDEX(KPIs!G:G,MATCH($B45,KPIs!B:B,0)))</f>
        <v/>
      </c>
      <c r="H45" s="23">
        <f>IF($B45="","",INDEX(KPIs!H:H,MATCH($B45,KPIs!B:B,0)))</f>
        <v/>
      </c>
    </row>
    <row r="46">
      <c r="A46" s="18">
        <f>IF(KPIs!A44="","",KPIs!A44)</f>
        <v/>
      </c>
      <c r="B46" s="18">
        <f>IF(KPIs!B44="","",KPIs!B44)</f>
        <v/>
      </c>
      <c r="C46" s="16">
        <f>IF($B46="","",INDEX(KPIs!C:C,MATCH($B46,KPIs!B:B,0)))</f>
        <v/>
      </c>
      <c r="D46" s="17">
        <f>IF($B46="","",SUMIFS('Time Entries'!J:J,'Time Entries'!N:N,$B46,'Time Entries'!A:A,"&gt;="&amp;$J$2,'Time Entries'!A:A,"&lt;="&amp;$K$2))</f>
        <v/>
      </c>
      <c r="E46" s="17">
        <f>IF($B46="","",INDEX(KPIs!F:F,MATCH($B46,KPIs!B:B,0)))</f>
        <v/>
      </c>
      <c r="F46" s="22">
        <f>IF(OR($B46="",E46=0),"",D46/E46*100)</f>
        <v/>
      </c>
      <c r="G46" s="16">
        <f>IF($B46="","",INDEX(KPIs!G:G,MATCH($B46,KPIs!B:B,0)))</f>
        <v/>
      </c>
      <c r="H46" s="23">
        <f>IF($B46="","",INDEX(KPIs!H:H,MATCH($B46,KPIs!B:B,0)))</f>
        <v/>
      </c>
    </row>
    <row r="47">
      <c r="A47" s="18">
        <f>IF(KPIs!A45="","",KPIs!A45)</f>
        <v/>
      </c>
      <c r="B47" s="18">
        <f>IF(KPIs!B45="","",KPIs!B45)</f>
        <v/>
      </c>
      <c r="C47" s="16">
        <f>IF($B47="","",INDEX(KPIs!C:C,MATCH($B47,KPIs!B:B,0)))</f>
        <v/>
      </c>
      <c r="D47" s="17">
        <f>IF($B47="","",SUMIFS('Time Entries'!J:J,'Time Entries'!N:N,$B47,'Time Entries'!A:A,"&gt;="&amp;$J$2,'Time Entries'!A:A,"&lt;="&amp;$K$2))</f>
        <v/>
      </c>
      <c r="E47" s="17">
        <f>IF($B47="","",INDEX(KPIs!F:F,MATCH($B47,KPIs!B:B,0)))</f>
        <v/>
      </c>
      <c r="F47" s="22">
        <f>IF(OR($B47="",E47=0),"",D47/E47*100)</f>
        <v/>
      </c>
      <c r="G47" s="16">
        <f>IF($B47="","",INDEX(KPIs!G:G,MATCH($B47,KPIs!B:B,0)))</f>
        <v/>
      </c>
      <c r="H47" s="23">
        <f>IF($B47="","",INDEX(KPIs!H:H,MATCH($B47,KPIs!B:B,0)))</f>
        <v/>
      </c>
    </row>
    <row r="48">
      <c r="A48" s="18">
        <f>IF(KPIs!A46="","",KPIs!A46)</f>
        <v/>
      </c>
      <c r="B48" s="18">
        <f>IF(KPIs!B46="","",KPIs!B46)</f>
        <v/>
      </c>
      <c r="C48" s="16">
        <f>IF($B48="","",INDEX(KPIs!C:C,MATCH($B48,KPIs!B:B,0)))</f>
        <v/>
      </c>
      <c r="D48" s="17">
        <f>IF($B48="","",SUMIFS('Time Entries'!J:J,'Time Entries'!N:N,$B48,'Time Entries'!A:A,"&gt;="&amp;$J$2,'Time Entries'!A:A,"&lt;="&amp;$K$2))</f>
        <v/>
      </c>
      <c r="E48" s="17">
        <f>IF($B48="","",INDEX(KPIs!F:F,MATCH($B48,KPIs!B:B,0)))</f>
        <v/>
      </c>
      <c r="F48" s="22">
        <f>IF(OR($B48="",E48=0),"",D48/E48*100)</f>
        <v/>
      </c>
      <c r="G48" s="16">
        <f>IF($B48="","",INDEX(KPIs!G:G,MATCH($B48,KPIs!B:B,0)))</f>
        <v/>
      </c>
      <c r="H48" s="23">
        <f>IF($B48="","",INDEX(KPIs!H:H,MATCH($B48,KPIs!B:B,0)))</f>
        <v/>
      </c>
    </row>
    <row r="49">
      <c r="A49" s="18">
        <f>IF(KPIs!A47="","",KPIs!A47)</f>
        <v/>
      </c>
      <c r="B49" s="18">
        <f>IF(KPIs!B47="","",KPIs!B47)</f>
        <v/>
      </c>
      <c r="C49" s="16">
        <f>IF($B49="","",INDEX(KPIs!C:C,MATCH($B49,KPIs!B:B,0)))</f>
        <v/>
      </c>
      <c r="D49" s="17">
        <f>IF($B49="","",SUMIFS('Time Entries'!J:J,'Time Entries'!N:N,$B49,'Time Entries'!A:A,"&gt;="&amp;$J$2,'Time Entries'!A:A,"&lt;="&amp;$K$2))</f>
        <v/>
      </c>
      <c r="E49" s="17">
        <f>IF($B49="","",INDEX(KPIs!F:F,MATCH($B49,KPIs!B:B,0)))</f>
        <v/>
      </c>
      <c r="F49" s="22">
        <f>IF(OR($B49="",E49=0),"",D49/E49*100)</f>
        <v/>
      </c>
      <c r="G49" s="16">
        <f>IF($B49="","",INDEX(KPIs!G:G,MATCH($B49,KPIs!B:B,0)))</f>
        <v/>
      </c>
      <c r="H49" s="23">
        <f>IF($B49="","",INDEX(KPIs!H:H,MATCH($B49,KPIs!B:B,0)))</f>
        <v/>
      </c>
    </row>
    <row r="50">
      <c r="A50" s="18">
        <f>IF(KPIs!A48="","",KPIs!A48)</f>
        <v/>
      </c>
      <c r="B50" s="18">
        <f>IF(KPIs!B48="","",KPIs!B48)</f>
        <v/>
      </c>
      <c r="C50" s="16">
        <f>IF($B50="","",INDEX(KPIs!C:C,MATCH($B50,KPIs!B:B,0)))</f>
        <v/>
      </c>
      <c r="D50" s="17">
        <f>IF($B50="","",SUMIFS('Time Entries'!J:J,'Time Entries'!N:N,$B50,'Time Entries'!A:A,"&gt;="&amp;$J$2,'Time Entries'!A:A,"&lt;="&amp;$K$2))</f>
        <v/>
      </c>
      <c r="E50" s="17">
        <f>IF($B50="","",INDEX(KPIs!F:F,MATCH($B50,KPIs!B:B,0)))</f>
        <v/>
      </c>
      <c r="F50" s="22">
        <f>IF(OR($B50="",E50=0),"",D50/E50*100)</f>
        <v/>
      </c>
      <c r="G50" s="16">
        <f>IF($B50="","",INDEX(KPIs!G:G,MATCH($B50,KPIs!B:B,0)))</f>
        <v/>
      </c>
      <c r="H50" s="23">
        <f>IF($B50="","",INDEX(KPIs!H:H,MATCH($B50,KPIs!B:B,0)))</f>
        <v/>
      </c>
    </row>
    <row r="51">
      <c r="A51" s="18">
        <f>IF(KPIs!A49="","",KPIs!A49)</f>
        <v/>
      </c>
      <c r="B51" s="18">
        <f>IF(KPIs!B49="","",KPIs!B49)</f>
        <v/>
      </c>
      <c r="C51" s="16">
        <f>IF($B51="","",INDEX(KPIs!C:C,MATCH($B51,KPIs!B:B,0)))</f>
        <v/>
      </c>
      <c r="D51" s="17">
        <f>IF($B51="","",SUMIFS('Time Entries'!J:J,'Time Entries'!N:N,$B51,'Time Entries'!A:A,"&gt;="&amp;$J$2,'Time Entries'!A:A,"&lt;="&amp;$K$2))</f>
        <v/>
      </c>
      <c r="E51" s="17">
        <f>IF($B51="","",INDEX(KPIs!F:F,MATCH($B51,KPIs!B:B,0)))</f>
        <v/>
      </c>
      <c r="F51" s="22">
        <f>IF(OR($B51="",E51=0),"",D51/E51*100)</f>
        <v/>
      </c>
      <c r="G51" s="16">
        <f>IF($B51="","",INDEX(KPIs!G:G,MATCH($B51,KPIs!B:B,0)))</f>
        <v/>
      </c>
      <c r="H51" s="23">
        <f>IF($B51="","",INDEX(KPIs!H:H,MATCH($B51,KPIs!B:B,0)))</f>
        <v/>
      </c>
    </row>
    <row r="52">
      <c r="A52" s="18">
        <f>IF(KPIs!A50="","",KPIs!A50)</f>
        <v/>
      </c>
      <c r="B52" s="18">
        <f>IF(KPIs!B50="","",KPIs!B50)</f>
        <v/>
      </c>
      <c r="C52" s="16">
        <f>IF($B52="","",INDEX(KPIs!C:C,MATCH($B52,KPIs!B:B,0)))</f>
        <v/>
      </c>
      <c r="D52" s="17">
        <f>IF($B52="","",SUMIFS('Time Entries'!J:J,'Time Entries'!N:N,$B52,'Time Entries'!A:A,"&gt;="&amp;$J$2,'Time Entries'!A:A,"&lt;="&amp;$K$2))</f>
        <v/>
      </c>
      <c r="E52" s="17">
        <f>IF($B52="","",INDEX(KPIs!F:F,MATCH($B52,KPIs!B:B,0)))</f>
        <v/>
      </c>
      <c r="F52" s="22">
        <f>IF(OR($B52="",E52=0),"",D52/E52*100)</f>
        <v/>
      </c>
      <c r="G52" s="16">
        <f>IF($B52="","",INDEX(KPIs!G:G,MATCH($B52,KPIs!B:B,0)))</f>
        <v/>
      </c>
      <c r="H52" s="23">
        <f>IF($B52="","",INDEX(KPIs!H:H,MATCH($B52,KPIs!B:B,0)))</f>
        <v/>
      </c>
    </row>
    <row r="53">
      <c r="A53" s="18">
        <f>IF(KPIs!A51="","",KPIs!A51)</f>
        <v/>
      </c>
      <c r="B53" s="18">
        <f>IF(KPIs!B51="","",KPIs!B51)</f>
        <v/>
      </c>
      <c r="C53" s="16">
        <f>IF($B53="","",INDEX(KPIs!C:C,MATCH($B53,KPIs!B:B,0)))</f>
        <v/>
      </c>
      <c r="D53" s="17">
        <f>IF($B53="","",SUMIFS('Time Entries'!J:J,'Time Entries'!N:N,$B53,'Time Entries'!A:A,"&gt;="&amp;$J$2,'Time Entries'!A:A,"&lt;="&amp;$K$2))</f>
        <v/>
      </c>
      <c r="E53" s="17">
        <f>IF($B53="","",INDEX(KPIs!F:F,MATCH($B53,KPIs!B:B,0)))</f>
        <v/>
      </c>
      <c r="F53" s="22">
        <f>IF(OR($B53="",E53=0),"",D53/E53*100)</f>
        <v/>
      </c>
      <c r="G53" s="16">
        <f>IF($B53="","",INDEX(KPIs!G:G,MATCH($B53,KPIs!B:B,0)))</f>
        <v/>
      </c>
      <c r="H53" s="23">
        <f>IF($B53="","",INDEX(KPIs!H:H,MATCH($B53,KPIs!B:B,0)))</f>
        <v/>
      </c>
    </row>
    <row r="55">
      <c r="A55" s="19" t="inlineStr">
        <is>
          <t>MONTHLY SUMMARY</t>
        </is>
      </c>
    </row>
    <row r="56">
      <c r="A56" s="10" t="inlineStr">
        <is>
          <t>Total Hours (all tasks):</t>
        </is>
      </c>
      <c r="B56" s="4">
        <f>SUM(D4:D53)</f>
        <v/>
      </c>
    </row>
    <row r="57">
      <c r="A57" s="10" t="inlineStr">
        <is>
          <t>Avg Performance:</t>
        </is>
      </c>
      <c r="B57" s="24">
        <f>AVERAGE(F4:F53)</f>
        <v/>
      </c>
    </row>
    <row r="58">
      <c r="A58" s="10" t="inlineStr">
        <is>
          <t>Tasks On Time:</t>
        </is>
      </c>
      <c r="B58">
        <f>COUNTIF(G4:G53,"Done")</f>
        <v/>
      </c>
    </row>
    <row r="59">
      <c r="A59" s="10" t="inlineStr">
        <is>
          <t>Tasks Late:</t>
        </is>
      </c>
      <c r="B59">
        <f>COUNTIF(G4:G53,"Late")</f>
        <v/>
      </c>
    </row>
    <row r="60">
      <c r="A60" s="10" t="inlineStr">
        <is>
          <t>Overall:</t>
        </is>
      </c>
      <c r="B60">
        <f>IF(COUNTIF(G4:G53,"Late")&gt;0,"Needs attention","All on track")</f>
        <v/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2026-07-21T10:37:56Z</dcterms:created>
  <dcterms:modified xmlns:dcterms="http://purl.org/dc/terms/" xmlns:xsi="http://www.w3.org/2001/XMLSchema-instance" xsi:type="dcterms:W3CDTF">2026-07-23T11:05:57Z</dcterms:modified>
</cp:coreProperties>
</file>