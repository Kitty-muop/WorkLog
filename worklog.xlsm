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windowWidth="27945" windowHeight="12180" tabRatio="600" firstSheet="0" activeTab="0" autoFilterDateGrouping="1"/>
  </bookViews>
  <sheets>
    <sheet xmlns:r="http://schemas.openxmlformats.org/officeDocument/2006/relationships" name="Time Entries" sheetId="1" state="visible" r:id="rId1"/>
    <sheet xmlns:r="http://schemas.openxmlformats.org/officeDocument/2006/relationships" name="KPIs" sheetId="2" state="visible" r:id="rId2"/>
    <sheet xmlns:r="http://schemas.openxmlformats.org/officeDocument/2006/relationships" name="Weekly Summary" sheetId="3" state="visible" r:id="rId3"/>
    <sheet xmlns:r="http://schemas.openxmlformats.org/officeDocument/2006/relationships" name="Daily Detail" sheetId="4" state="visible" r:id="rId4"/>
    <sheet xmlns:r="http://schemas.openxmlformats.org/officeDocument/2006/relationships" name="Monthly" sheetId="5" state="visible" r:id="rId5"/>
  </sheets>
  <definedNames>
    <definedName name="_xlnm._FilterDatabase" localSheetId="0" hidden="1">'Time Entries'!$A$1:$I$200</definedName>
  </definedNames>
  <calcPr calcId="191029" fullCalcOnLoad="1"/>
</workbook>
</file>

<file path=xl/styles.xml><?xml version="1.0" encoding="utf-8"?>
<styleSheet xmlns="http://schemas.openxmlformats.org/spreadsheetml/2006/main">
  <numFmts count="8">
    <numFmt numFmtId="164" formatCode="0.0&quot;%&quot;"/>
    <numFmt numFmtId="165" formatCode="dd\-mm\-yyyy"/>
    <numFmt numFmtId="166" formatCode="0.0%"/>
    <numFmt numFmtId="167" formatCode="0.0"/>
    <numFmt numFmtId="168" formatCode="hh:mm"/>
    <numFmt numFmtId="169" formatCode="dd-mm-yyyy"/>
    <numFmt numFmtId="170" formatCode="_ * #,##0.00_ ;_ * \-#,##0.00_ ;_ * &quot;-&quot;??_ ;_ @_ "/>
    <numFmt numFmtId="171" formatCode="_ * #,##0_ ;_ * \-#,##0_ ;_ * &quot;-&quot;_ ;_ @_ "/>
  </numFmts>
  <fonts count="47">
    <font>
      <name val="Calibri"/>
      <charset val="134"/>
      <color theme="1"/>
      <sz val="11"/>
      <scheme val="minor"/>
    </font>
    <font>
      <name val="Calibri"/>
      <charset val="134"/>
      <b val="1"/>
      <sz val="14"/>
    </font>
    <font>
      <name val="Calibri"/>
      <charset val="134"/>
      <b val="1"/>
      <i val="1"/>
      <sz val="12"/>
    </font>
    <font>
      <name val="Calibri"/>
      <charset val="134"/>
      <b val="1"/>
      <color rgb="FFFFFFFF"/>
      <sz val="11"/>
    </font>
    <font>
      <name val="Calibri"/>
      <charset val="134"/>
      <sz val="11"/>
    </font>
    <font>
      <name val="Calibri"/>
      <charset val="134"/>
      <b val="1"/>
      <sz val="12"/>
    </font>
    <font>
      <name val="Calibri"/>
      <charset val="134"/>
      <b val="1"/>
      <sz val="11"/>
    </font>
    <font>
      <name val="Calibri"/>
      <charset val="134"/>
      <sz val="12"/>
    </font>
    <font>
      <name val="Calibri"/>
      <charset val="134"/>
      <i val="1"/>
      <color rgb="FF888888"/>
      <sz val="9"/>
    </font>
    <font>
      <name val="Calibri"/>
      <charset val="134"/>
      <i val="1"/>
      <sz val="11"/>
    </font>
    <font>
      <name val="Calibri"/>
      <charset val="134"/>
      <b val="1"/>
      <i val="1"/>
      <sz val="11"/>
    </font>
    <font>
      <name val="Calibri"/>
      <charset val="134"/>
      <i val="1"/>
      <color rgb="FFAAAAAA"/>
      <sz val="11"/>
    </font>
    <font>
      <name val="Calibri"/>
      <charset val="134"/>
      <color theme="0"/>
      <sz val="11"/>
      <scheme val="minor"/>
    </font>
    <font>
      <name val="Calibri"/>
      <charset val="134"/>
      <b val="1"/>
      <color theme="0"/>
      <sz val="11"/>
      <scheme val="minor"/>
    </font>
    <font>
      <name val="Calibri"/>
      <charset val="134"/>
      <b val="1"/>
      <color theme="1"/>
      <sz val="11"/>
      <scheme val="minor"/>
    </font>
    <font>
      <name val="Calibri"/>
      <charset val="134"/>
      <i val="1"/>
      <color rgb="FF999999"/>
      <sz val="9"/>
    </font>
    <font>
      <name val="Calibri"/>
      <charset val="0"/>
      <color rgb="FF0000FF"/>
      <sz val="11"/>
      <u val="single"/>
      <scheme val="minor"/>
    </font>
    <font>
      <name val="Calibri"/>
      <charset val="0"/>
      <color rgb="FF800080"/>
      <sz val="11"/>
      <u val="single"/>
      <scheme val="minor"/>
    </font>
    <font>
      <name val="Calibri"/>
      <charset val="0"/>
      <color rgb="FFFF0000"/>
      <sz val="11"/>
      <scheme val="minor"/>
    </font>
    <font>
      <name val="Calibri"/>
      <charset val="134"/>
      <b val="1"/>
      <color theme="3"/>
      <sz val="18"/>
      <scheme val="minor"/>
    </font>
    <font>
      <name val="Calibri"/>
      <charset val="0"/>
      <i val="1"/>
      <color rgb="FF7F7F7F"/>
      <sz val="11"/>
      <scheme val="minor"/>
    </font>
    <font>
      <name val="Calibri"/>
      <charset val="134"/>
      <b val="1"/>
      <color theme="3"/>
      <sz val="15"/>
      <scheme val="minor"/>
    </font>
    <font>
      <name val="Calibri"/>
      <charset val="134"/>
      <b val="1"/>
      <color theme="3"/>
      <sz val="13"/>
      <scheme val="minor"/>
    </font>
    <font>
      <name val="Calibri"/>
      <charset val="134"/>
      <b val="1"/>
      <color theme="3"/>
      <sz val="11"/>
      <scheme val="minor"/>
    </font>
    <font>
      <name val="Calibri"/>
      <charset val="0"/>
      <color rgb="FF3F3F76"/>
      <sz val="11"/>
      <scheme val="minor"/>
    </font>
    <font>
      <name val="Calibri"/>
      <charset val="0"/>
      <b val="1"/>
      <color rgb="FF3F3F3F"/>
      <sz val="11"/>
      <scheme val="minor"/>
    </font>
    <font>
      <name val="Calibri"/>
      <charset val="0"/>
      <b val="1"/>
      <color rgb="FFFA7D00"/>
      <sz val="11"/>
      <scheme val="minor"/>
    </font>
    <font>
      <name val="Calibri"/>
      <charset val="0"/>
      <b val="1"/>
      <color rgb="FFFFFFFF"/>
      <sz val="11"/>
      <scheme val="minor"/>
    </font>
    <font>
      <name val="Calibri"/>
      <charset val="0"/>
      <color rgb="FFFA7D00"/>
      <sz val="11"/>
      <scheme val="minor"/>
    </font>
    <font>
      <name val="Calibri"/>
      <charset val="0"/>
      <b val="1"/>
      <color theme="1"/>
      <sz val="11"/>
      <scheme val="minor"/>
    </font>
    <font>
      <name val="Calibri"/>
      <charset val="0"/>
      <color rgb="FF006100"/>
      <sz val="11"/>
      <scheme val="minor"/>
    </font>
    <font>
      <name val="Calibri"/>
      <charset val="0"/>
      <color rgb="FF9C0006"/>
      <sz val="11"/>
      <scheme val="minor"/>
    </font>
    <font>
      <name val="Calibri"/>
      <charset val="0"/>
      <color rgb="FF9C6500"/>
      <sz val="11"/>
      <scheme val="minor"/>
    </font>
    <font>
      <name val="Calibri"/>
      <charset val="0"/>
      <color theme="0"/>
      <sz val="11"/>
      <scheme val="minor"/>
    </font>
    <font>
      <name val="Calibri"/>
      <charset val="0"/>
      <color theme="1"/>
      <sz val="11"/>
      <scheme val="minor"/>
    </font>
    <font>
      <name val="Calibri"/>
      <sz val="11"/>
    </font>
    <font>
      <name val="Calibri"/>
      <i val="1"/>
      <color rgb="00888888"/>
      <sz val="9"/>
    </font>
    <font>
      <name val="Calibri"/>
      <i val="1"/>
      <color rgb="00999999"/>
      <sz val="9"/>
    </font>
    <font>
      <name val="Calibri"/>
      <b val="1"/>
      <color rgb="00FFFFFF"/>
      <sz val="11"/>
    </font>
    <font>
      <name val="Calibri"/>
      <i val="1"/>
      <color rgb="00AAAAAA"/>
      <sz val="11"/>
    </font>
    <font>
      <name val="Calibri"/>
      <b val="1"/>
      <sz val="14"/>
    </font>
    <font>
      <name val="Calibri"/>
      <b val="1"/>
      <i val="1"/>
      <sz val="11"/>
    </font>
    <font>
      <name val="Calibri"/>
      <b val="1"/>
      <sz val="11"/>
    </font>
    <font>
      <name val="Calibri"/>
      <sz val="12"/>
    </font>
    <font>
      <name val="Calibri"/>
      <b val="1"/>
      <sz val="12"/>
    </font>
    <font>
      <name val="Calibri"/>
      <i val="1"/>
      <sz val="11"/>
    </font>
    <font>
      <name val="Calibri"/>
      <b val="1"/>
      <i val="1"/>
      <sz val="12"/>
    </font>
  </fonts>
  <fills count="47">
    <fill>
      <patternFill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6E4F0"/>
        <bgColor rgb="FFD6E4F0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F2F2F2"/>
        <bgColor rgb="FFF2F2F2"/>
      </patternFill>
    </fill>
    <fill>
      <patternFill patternType="solid">
        <fgColor theme="3"/>
        <bgColor indexed="64"/>
      </patternFill>
    </fill>
    <fill>
      <patternFill patternType="solid">
        <fgColor theme="3" tint="0.8"/>
        <bgColor indexed="64"/>
      </patternFill>
    </fill>
    <fill>
      <patternFill patternType="solid">
        <fgColor theme="3"/>
        <bgColor rgb="FF4472C4"/>
      </patternFill>
    </fill>
    <fill>
      <patternFill patternType="solid">
        <fgColor theme="3" tint="0.8"/>
        <bgColor rgb="FFF7F9FC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004472C4"/>
        <bgColor rgb="004472C4"/>
      </patternFill>
    </fill>
    <fill>
      <patternFill patternType="solid">
        <fgColor rgb="00F2F2F2"/>
        <bgColor rgb="00F2F2F2"/>
      </patternFill>
    </fill>
    <fill>
      <patternFill patternType="solid">
        <fgColor rgb="00E2EFDA"/>
        <bgColor rgb="00E2EFDA"/>
      </patternFill>
    </fill>
    <fill>
      <patternFill patternType="solid">
        <fgColor rgb="00FFF2CC"/>
        <bgColor rgb="00FFF2CC"/>
      </patternFill>
    </fill>
    <fill>
      <patternFill patternType="solid">
        <fgColor rgb="00D6E4F0"/>
        <bgColor rgb="00D6E4F0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/>
      <right style="thin"/>
      <top style="thin"/>
      <bottom style="thin"/>
    </border>
  </borders>
  <cellStyleXfs count="49">
    <xf numFmtId="0" fontId="0" fillId="0" borderId="0"/>
    <xf numFmtId="170" fontId="0" fillId="0" borderId="0" applyAlignment="1">
      <alignment vertical="center"/>
    </xf>
    <xf numFmtId="44" fontId="0" fillId="0" borderId="0" applyAlignment="1">
      <alignment vertical="center"/>
    </xf>
    <xf numFmtId="9" fontId="0" fillId="0" borderId="0" applyAlignment="1">
      <alignment vertical="center"/>
    </xf>
    <xf numFmtId="171" fontId="0" fillId="0" borderId="0" applyAlignment="1">
      <alignment vertical="center"/>
    </xf>
    <xf numFmtId="42" fontId="0" fillId="0" borderId="0" applyAlignment="1">
      <alignment vertical="center"/>
    </xf>
    <xf numFmtId="0" fontId="16" fillId="0" borderId="0" applyAlignment="1">
      <alignment vertical="center"/>
    </xf>
    <xf numFmtId="0" fontId="17" fillId="0" borderId="0" applyAlignment="1">
      <alignment vertical="center"/>
    </xf>
    <xf numFmtId="0" fontId="0" fillId="11" borderId="3" applyAlignment="1">
      <alignment vertical="center"/>
    </xf>
    <xf numFmtId="0" fontId="18" fillId="0" borderId="0" applyAlignment="1">
      <alignment vertical="center"/>
    </xf>
    <xf numFmtId="0" fontId="19" fillId="0" borderId="0" applyAlignment="1">
      <alignment vertical="center"/>
    </xf>
    <xf numFmtId="0" fontId="20" fillId="0" borderId="0" applyAlignment="1">
      <alignment vertical="center"/>
    </xf>
    <xf numFmtId="0" fontId="21" fillId="0" borderId="4" applyAlignment="1">
      <alignment vertical="center"/>
    </xf>
    <xf numFmtId="0" fontId="22" fillId="0" borderId="4" applyAlignment="1">
      <alignment vertical="center"/>
    </xf>
    <xf numFmtId="0" fontId="23" fillId="0" borderId="5" applyAlignment="1">
      <alignment vertical="center"/>
    </xf>
    <xf numFmtId="0" fontId="23" fillId="0" borderId="0" applyAlignment="1">
      <alignment vertical="center"/>
    </xf>
    <xf numFmtId="0" fontId="24" fillId="12" borderId="6" applyAlignment="1">
      <alignment vertical="center"/>
    </xf>
    <xf numFmtId="0" fontId="25" fillId="13" borderId="7" applyAlignment="1">
      <alignment vertical="center"/>
    </xf>
    <xf numFmtId="0" fontId="26" fillId="13" borderId="6" applyAlignment="1">
      <alignment vertical="center"/>
    </xf>
    <xf numFmtId="0" fontId="27" fillId="14" borderId="8" applyAlignment="1">
      <alignment vertical="center"/>
    </xf>
    <xf numFmtId="0" fontId="28" fillId="0" borderId="9" applyAlignment="1">
      <alignment vertical="center"/>
    </xf>
    <xf numFmtId="0" fontId="29" fillId="0" borderId="10" applyAlignment="1">
      <alignment vertical="center"/>
    </xf>
    <xf numFmtId="0" fontId="30" fillId="15" borderId="0" applyAlignment="1">
      <alignment vertical="center"/>
    </xf>
    <xf numFmtId="0" fontId="31" fillId="16" borderId="0" applyAlignment="1">
      <alignment vertical="center"/>
    </xf>
    <xf numFmtId="0" fontId="32" fillId="17" borderId="0" applyAlignment="1">
      <alignment vertical="center"/>
    </xf>
    <xf numFmtId="0" fontId="33" fillId="18" borderId="0" applyAlignment="1">
      <alignment vertical="center"/>
    </xf>
    <xf numFmtId="0" fontId="34" fillId="19" borderId="0" applyAlignment="1">
      <alignment vertical="center"/>
    </xf>
    <xf numFmtId="0" fontId="34" fillId="20" borderId="0" applyAlignment="1">
      <alignment vertical="center"/>
    </xf>
    <xf numFmtId="0" fontId="33" fillId="21" borderId="0" applyAlignment="1">
      <alignment vertical="center"/>
    </xf>
    <xf numFmtId="0" fontId="33" fillId="22" borderId="0" applyAlignment="1">
      <alignment vertical="center"/>
    </xf>
    <xf numFmtId="0" fontId="34" fillId="23" borderId="0" applyAlignment="1">
      <alignment vertical="center"/>
    </xf>
    <xf numFmtId="0" fontId="34" fillId="24" borderId="0" applyAlignment="1">
      <alignment vertical="center"/>
    </xf>
    <xf numFmtId="0" fontId="33" fillId="25" borderId="0" applyAlignment="1">
      <alignment vertical="center"/>
    </xf>
    <xf numFmtId="0" fontId="33" fillId="26" borderId="0" applyAlignment="1">
      <alignment vertical="center"/>
    </xf>
    <xf numFmtId="0" fontId="34" fillId="27" borderId="0" applyAlignment="1">
      <alignment vertical="center"/>
    </xf>
    <xf numFmtId="0" fontId="34" fillId="28" borderId="0" applyAlignment="1">
      <alignment vertical="center"/>
    </xf>
    <xf numFmtId="0" fontId="33" fillId="29" borderId="0" applyAlignment="1">
      <alignment vertical="center"/>
    </xf>
    <xf numFmtId="0" fontId="33" fillId="30" borderId="0" applyAlignment="1">
      <alignment vertical="center"/>
    </xf>
    <xf numFmtId="0" fontId="34" fillId="31" borderId="0" applyAlignment="1">
      <alignment vertical="center"/>
    </xf>
    <xf numFmtId="0" fontId="34" fillId="32" borderId="0" applyAlignment="1">
      <alignment vertical="center"/>
    </xf>
    <xf numFmtId="0" fontId="33" fillId="33" borderId="0" applyAlignment="1">
      <alignment vertical="center"/>
    </xf>
    <xf numFmtId="0" fontId="33" fillId="34" borderId="0" applyAlignment="1">
      <alignment vertical="center"/>
    </xf>
    <xf numFmtId="0" fontId="34" fillId="35" borderId="0" applyAlignment="1">
      <alignment vertical="center"/>
    </xf>
    <xf numFmtId="0" fontId="34" fillId="36" borderId="0" applyAlignment="1">
      <alignment vertical="center"/>
    </xf>
    <xf numFmtId="0" fontId="33" fillId="37" borderId="0" applyAlignment="1">
      <alignment vertical="center"/>
    </xf>
    <xf numFmtId="0" fontId="33" fillId="38" borderId="0" applyAlignment="1">
      <alignment vertical="center"/>
    </xf>
    <xf numFmtId="0" fontId="34" fillId="39" borderId="0" applyAlignment="1">
      <alignment vertical="center"/>
    </xf>
    <xf numFmtId="0" fontId="34" fillId="40" borderId="0" applyAlignment="1">
      <alignment vertical="center"/>
    </xf>
    <xf numFmtId="0" fontId="33" fillId="41" borderId="0" applyAlignment="1">
      <alignment vertical="center"/>
    </xf>
  </cellStyleXfs>
  <cellXfs count="93">
    <xf numFmtId="0" fontId="0" fillId="0" borderId="0" pivotButton="0" quotePrefix="0" xfId="0"/>
    <xf numFmtId="0" fontId="1" fillId="0" borderId="0" applyAlignment="1" pivotButton="0" quotePrefix="0" xfId="0">
      <alignment horizontal="center" vertical="center"/>
    </xf>
    <xf numFmtId="0" fontId="2" fillId="0" borderId="0" pivotButton="0" quotePrefix="0" xfId="0"/>
    <xf numFmtId="0" fontId="3" fillId="2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left" vertical="center"/>
    </xf>
    <xf numFmtId="2" fontId="4" fillId="0" borderId="1" applyAlignment="1" pivotButton="0" quotePrefix="0" xfId="0">
      <alignment horizontal="center" vertical="center"/>
    </xf>
    <xf numFmtId="164" fontId="4" fillId="0" borderId="1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 vertical="center"/>
    </xf>
    <xf numFmtId="165" fontId="4" fillId="0" borderId="1" applyAlignment="1" pivotButton="0" quotePrefix="0" xfId="0">
      <alignment horizontal="center" vertical="center"/>
    </xf>
    <xf numFmtId="0" fontId="5" fillId="3" borderId="0" pivotButton="0" quotePrefix="0" xfId="0"/>
    <xf numFmtId="0" fontId="6" fillId="0" borderId="0" pivotButton="0" quotePrefix="0" xfId="0"/>
    <xf numFmtId="2" fontId="0" fillId="0" borderId="0" pivotButton="0" quotePrefix="0" xfId="0"/>
    <xf numFmtId="164" fontId="0" fillId="0" borderId="0" pivotButton="0" quotePrefix="0" xfId="0"/>
    <xf numFmtId="0" fontId="1" fillId="0" borderId="0" pivotButton="0" quotePrefix="0" xfId="0"/>
    <xf numFmtId="165" fontId="7" fillId="4" borderId="0" pivotButton="0" quotePrefix="0" xfId="0"/>
    <xf numFmtId="0" fontId="8" fillId="0" borderId="0" pivotButton="0" quotePrefix="0" xfId="0"/>
    <xf numFmtId="0" fontId="9" fillId="0" borderId="0" pivotButton="0" quotePrefix="0" xfId="0"/>
    <xf numFmtId="2" fontId="6" fillId="0" borderId="0" pivotButton="0" quotePrefix="0" xfId="0"/>
    <xf numFmtId="166" fontId="6" fillId="0" borderId="0" pivotButton="0" quotePrefix="0" xfId="0"/>
    <xf numFmtId="165" fontId="3" fillId="2" borderId="1" applyAlignment="1" pivotButton="0" quotePrefix="0" xfId="0">
      <alignment horizontal="center" vertical="center" wrapText="1"/>
    </xf>
    <xf numFmtId="0" fontId="10" fillId="0" borderId="0" pivotButton="0" quotePrefix="0" xfId="0"/>
    <xf numFmtId="0" fontId="4" fillId="0" borderId="1" pivotButton="0" quotePrefix="0" xfId="0"/>
    <xf numFmtId="167" fontId="4" fillId="0" borderId="1" applyAlignment="1" pivotButton="0" quotePrefix="0" xfId="0">
      <alignment horizontal="center" vertical="center"/>
    </xf>
    <xf numFmtId="167" fontId="6" fillId="0" borderId="1" applyAlignment="1" pivotButton="0" quotePrefix="0" xfId="0">
      <alignment horizontal="center" vertical="center"/>
    </xf>
    <xf numFmtId="0" fontId="6" fillId="5" borderId="1" pivotButton="0" quotePrefix="0" xfId="0"/>
    <xf numFmtId="0" fontId="0" fillId="5" borderId="0" pivotButton="0" quotePrefix="0" xfId="0"/>
    <xf numFmtId="167" fontId="6" fillId="5" borderId="1" applyAlignment="1" pivotButton="0" quotePrefix="0" xfId="0">
      <alignment horizontal="center" vertical="center"/>
    </xf>
    <xf numFmtId="0" fontId="11" fillId="0" borderId="0" pivotButton="0" quotePrefix="0" xfId="0"/>
    <xf numFmtId="165" fontId="0" fillId="0" borderId="0" pivotButton="0" quotePrefix="0" xfId="0"/>
    <xf numFmtId="0" fontId="0" fillId="6" borderId="0" pivotButton="0" quotePrefix="0" xfId="0"/>
    <xf numFmtId="0" fontId="12" fillId="7" borderId="2" pivotButton="0" quotePrefix="0" xfId="0"/>
    <xf numFmtId="0" fontId="0" fillId="8" borderId="2" applyAlignment="1" pivotButton="0" quotePrefix="0" xfId="0">
      <alignment horizontal="center"/>
    </xf>
    <xf numFmtId="0" fontId="0" fillId="8" borderId="2" pivotButton="0" quotePrefix="0" xfId="0"/>
    <xf numFmtId="0" fontId="13" fillId="9" borderId="2" applyAlignment="1" pivotButton="0" quotePrefix="0" xfId="0">
      <alignment horizontal="center" vertical="center" wrapText="1"/>
    </xf>
    <xf numFmtId="0" fontId="13" fillId="9" borderId="2" applyAlignment="1" pivotButton="0" quotePrefix="0" xfId="0">
      <alignment horizontal="left" vertical="center" wrapText="1"/>
    </xf>
    <xf numFmtId="165" fontId="0" fillId="10" borderId="2" applyAlignment="1" pivotButton="0" quotePrefix="0" xfId="0">
      <alignment horizontal="center" vertical="center" wrapText="1"/>
    </xf>
    <xf numFmtId="0" fontId="0" fillId="10" borderId="2" applyAlignment="1" pivotButton="0" quotePrefix="0" xfId="0">
      <alignment horizontal="center" vertical="center" wrapText="1"/>
    </xf>
    <xf numFmtId="0" fontId="0" fillId="10" borderId="2" applyAlignment="1" pivotButton="0" quotePrefix="0" xfId="0">
      <alignment horizontal="left" vertical="center" wrapText="1"/>
    </xf>
    <xf numFmtId="168" fontId="0" fillId="10" borderId="2" applyAlignment="1" pivotButton="0" quotePrefix="0" xfId="0">
      <alignment horizontal="center" vertical="center"/>
    </xf>
    <xf numFmtId="168" fontId="14" fillId="10" borderId="2" applyAlignment="1" pivotButton="0" quotePrefix="0" xfId="0">
      <alignment horizontal="center" vertical="center"/>
    </xf>
    <xf numFmtId="2" fontId="4" fillId="8" borderId="2" applyAlignment="1" pivotButton="0" quotePrefix="0" xfId="0">
      <alignment horizontal="center" vertical="center"/>
    </xf>
    <xf numFmtId="0" fontId="15" fillId="0" borderId="0" applyAlignment="1" pivotButton="0" quotePrefix="0" xfId="0">
      <alignment horizontal="center" vertical="center"/>
    </xf>
    <xf numFmtId="0" fontId="0" fillId="8" borderId="2" applyAlignment="1" pivotButton="0" quotePrefix="0" xfId="0">
      <alignment horizontal="left" vertical="center" wrapText="1"/>
    </xf>
    <xf numFmtId="0" fontId="0" fillId="8" borderId="2" applyAlignment="1" pivotButton="0" quotePrefix="0" xfId="0">
      <alignment horizontal="center" vertical="center" wrapText="1"/>
    </xf>
    <xf numFmtId="168" fontId="0" fillId="8" borderId="2" applyAlignment="1" pivotButton="0" quotePrefix="0" xfId="0">
      <alignment horizontal="center" vertical="center"/>
    </xf>
    <xf numFmtId="168" fontId="14" fillId="8" borderId="2" applyAlignment="1" pivotButton="0" quotePrefix="0" xfId="0">
      <alignment horizontal="center" vertical="center"/>
    </xf>
    <xf numFmtId="165" fontId="0" fillId="8" borderId="2" applyAlignment="1" pivotButton="0" quotePrefix="0" xfId="0">
      <alignment horizontal="center" vertical="center" wrapText="1"/>
    </xf>
    <xf numFmtId="168" fontId="0" fillId="0" borderId="0" pivotButton="0" quotePrefix="0" xfId="0"/>
    <xf numFmtId="2" fontId="4" fillId="0" borderId="0" applyAlignment="1" pivotButton="0" quotePrefix="0" xfId="0">
      <alignment horizontal="center" vertical="center"/>
    </xf>
    <xf numFmtId="0" fontId="36" fillId="0" borderId="0" pivotButton="0" quotePrefix="0" xfId="0"/>
    <xf numFmtId="169" fontId="0" fillId="10" borderId="2" applyAlignment="1" pivotButton="0" quotePrefix="0" xfId="0">
      <alignment horizontal="center" vertical="center" wrapText="1"/>
    </xf>
    <xf numFmtId="168" fontId="0" fillId="10" borderId="2" applyAlignment="1" pivotButton="0" quotePrefix="0" xfId="0">
      <alignment horizontal="center" vertical="center"/>
    </xf>
    <xf numFmtId="168" fontId="14" fillId="10" borderId="2" applyAlignment="1" pivotButton="0" quotePrefix="0" xfId="0">
      <alignment horizontal="center" vertical="center"/>
    </xf>
    <xf numFmtId="2" fontId="35" fillId="8" borderId="2" applyAlignment="1" pivotButton="0" quotePrefix="0" xfId="0">
      <alignment horizontal="center" vertical="center"/>
    </xf>
    <xf numFmtId="0" fontId="37" fillId="0" borderId="0" applyAlignment="1" pivotButton="0" quotePrefix="0" xfId="0">
      <alignment horizontal="center" vertical="center"/>
    </xf>
    <xf numFmtId="169" fontId="0" fillId="0" borderId="0" pivotButton="0" quotePrefix="0" xfId="0"/>
    <xf numFmtId="168" fontId="0" fillId="8" borderId="2" applyAlignment="1" pivotButton="0" quotePrefix="0" xfId="0">
      <alignment horizontal="center" vertical="center"/>
    </xf>
    <xf numFmtId="168" fontId="14" fillId="8" borderId="2" applyAlignment="1" pivotButton="0" quotePrefix="0" xfId="0">
      <alignment horizontal="center" vertical="center"/>
    </xf>
    <xf numFmtId="169" fontId="0" fillId="8" borderId="2" applyAlignment="1" pivotButton="0" quotePrefix="0" xfId="0">
      <alignment horizontal="center" vertical="center" wrapText="1"/>
    </xf>
    <xf numFmtId="168" fontId="0" fillId="0" borderId="0" pivotButton="0" quotePrefix="0" xfId="0"/>
    <xf numFmtId="2" fontId="35" fillId="0" borderId="0" applyAlignment="1" pivotButton="0" quotePrefix="0" xfId="0">
      <alignment horizontal="center" vertical="center"/>
    </xf>
    <xf numFmtId="0" fontId="38" fillId="42" borderId="11" applyAlignment="1" pivotButton="0" quotePrefix="0" xfId="0">
      <alignment horizontal="center" vertical="center" wrapText="1"/>
    </xf>
    <xf numFmtId="0" fontId="39" fillId="0" borderId="0" pivotButton="0" quotePrefix="0" xfId="0"/>
    <xf numFmtId="0" fontId="0" fillId="43" borderId="0" pivotButton="0" quotePrefix="0" xfId="0"/>
    <xf numFmtId="0" fontId="40" fillId="0" borderId="0" applyAlignment="1" pivotButton="0" quotePrefix="0" xfId="0">
      <alignment horizontal="center" vertical="center"/>
    </xf>
    <xf numFmtId="169" fontId="38" fillId="42" borderId="11" applyAlignment="1" pivotButton="0" quotePrefix="0" xfId="0">
      <alignment horizontal="center" vertical="center" wrapText="1"/>
    </xf>
    <xf numFmtId="0" fontId="41" fillId="0" borderId="0" pivotButton="0" quotePrefix="0" xfId="0"/>
    <xf numFmtId="0" fontId="35" fillId="0" borderId="11" pivotButton="0" quotePrefix="0" xfId="0"/>
    <xf numFmtId="167" fontId="35" fillId="0" borderId="11" applyAlignment="1" pivotButton="0" quotePrefix="0" xfId="0">
      <alignment horizontal="center" vertical="center"/>
    </xf>
    <xf numFmtId="167" fontId="42" fillId="0" borderId="11" applyAlignment="1" pivotButton="0" quotePrefix="0" xfId="0">
      <alignment horizontal="center" vertical="center"/>
    </xf>
    <xf numFmtId="0" fontId="42" fillId="44" borderId="11" pivotButton="0" quotePrefix="0" xfId="0"/>
    <xf numFmtId="0" fontId="0" fillId="44" borderId="0" pivotButton="0" quotePrefix="0" xfId="0"/>
    <xf numFmtId="167" fontId="42" fillId="44" borderId="11" applyAlignment="1" pivotButton="0" quotePrefix="0" xfId="0">
      <alignment horizontal="center" vertical="center"/>
    </xf>
    <xf numFmtId="0" fontId="40" fillId="0" borderId="0" pivotButton="0" quotePrefix="0" xfId="0"/>
    <xf numFmtId="169" fontId="43" fillId="45" borderId="0" pivotButton="0" quotePrefix="0" xfId="0"/>
    <xf numFmtId="0" fontId="45" fillId="0" borderId="0" pivotButton="0" quotePrefix="0" xfId="0"/>
    <xf numFmtId="0" fontId="35" fillId="0" borderId="11" applyAlignment="1" pivotButton="0" quotePrefix="0" xfId="0">
      <alignment horizontal="center" vertical="center"/>
    </xf>
    <xf numFmtId="2" fontId="35" fillId="0" borderId="11" applyAlignment="1" pivotButton="0" quotePrefix="0" xfId="0">
      <alignment horizontal="center" vertical="center"/>
    </xf>
    <xf numFmtId="0" fontId="35" fillId="0" borderId="11" applyAlignment="1" pivotButton="0" quotePrefix="0" xfId="0">
      <alignment horizontal="left" vertical="center"/>
    </xf>
    <xf numFmtId="0" fontId="44" fillId="46" borderId="0" pivotButton="0" quotePrefix="0" xfId="0"/>
    <xf numFmtId="0" fontId="42" fillId="0" borderId="0" pivotButton="0" quotePrefix="0" xfId="0"/>
    <xf numFmtId="2" fontId="42" fillId="0" borderId="0" pivotButton="0" quotePrefix="0" xfId="0"/>
    <xf numFmtId="166" fontId="42" fillId="0" borderId="0" pivotButton="0" quotePrefix="0" xfId="0"/>
    <xf numFmtId="0" fontId="46" fillId="0" borderId="0" pivotButton="0" quotePrefix="0" xfId="0"/>
    <xf numFmtId="164" fontId="35" fillId="0" borderId="11" applyAlignment="1" pivotButton="0" quotePrefix="0" xfId="0">
      <alignment horizontal="center" vertical="center"/>
    </xf>
    <xf numFmtId="169" fontId="35" fillId="0" borderId="11" applyAlignment="1" pivotButton="0" quotePrefix="0" xfId="0">
      <alignment horizontal="center" vertical="center"/>
    </xf>
    <xf numFmtId="164" fontId="0" fillId="0" borderId="0" pivotButton="0" quotePrefix="0" xfId="0"/>
    <xf numFmtId="169" fontId="0" fillId="10" borderId="2" applyAlignment="1" pivotButton="0" quotePrefix="0" xfId="0">
      <alignment horizontal="center" vertical="center" wrapText="1"/>
    </xf>
    <xf numFmtId="169" fontId="0" fillId="0" borderId="0" pivotButton="0" quotePrefix="0" xfId="0"/>
    <xf numFmtId="169" fontId="0" fillId="8" borderId="2" applyAlignment="1" pivotButton="0" quotePrefix="0" xfId="0">
      <alignment horizontal="center" vertical="center" wrapText="1"/>
    </xf>
    <xf numFmtId="169" fontId="38" fillId="42" borderId="11" applyAlignment="1" pivotButton="0" quotePrefix="0" xfId="0">
      <alignment horizontal="center" vertical="center" wrapText="1"/>
    </xf>
    <xf numFmtId="169" fontId="43" fillId="45" borderId="0" pivotButton="0" quotePrefix="0" xfId="0"/>
    <xf numFmtId="169" fontId="35" fillId="0" borderId="11" applyAlignment="1" pivotButton="0" quotePrefix="0" xfId="0">
      <alignment horizontal="center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200"/>
  <sheetViews>
    <sheetView tabSelected="1" workbookViewId="0">
      <pane ySplit="1" topLeftCell="A2" activePane="bottomLeft" state="frozen"/>
      <selection activeCell="A1" sqref="A1"/>
      <selection pane="bottomLeft" activeCell="H6" sqref="H6"/>
    </sheetView>
  </sheetViews>
  <sheetFormatPr baseColWidth="8" defaultColWidth="9" defaultRowHeight="15"/>
  <cols>
    <col width="12" customWidth="1" style="31" min="1" max="1"/>
    <col width="4.85714285714286" customWidth="1" style="31" min="2" max="2"/>
    <col width="9" customWidth="1" style="31" min="3" max="3"/>
    <col width="14" customWidth="1" style="32" min="4" max="4"/>
    <col width="14" customWidth="1" style="31" min="5" max="5"/>
    <col width="14.1428571428571" customWidth="1" style="31" min="6" max="6"/>
    <col width="9.71428571428571" customWidth="1" style="31" min="7" max="7"/>
    <col width="8.857142857142859" customWidth="1" style="31" min="8" max="8"/>
    <col width="11.4285714285714" customWidth="1" style="32" min="9" max="9"/>
    <col width="35" customWidth="1" style="32" min="10" max="10"/>
    <col hidden="1" width="12.8571428571429" customWidth="1" style="32" min="11" max="11"/>
    <col hidden="1" width="13.8571428571429" customWidth="1" style="32" min="12" max="12"/>
    <col hidden="1" width="23" customWidth="1" style="32" min="13" max="13"/>
    <col hidden="1" width="9" customWidth="1" style="32" min="14" max="16384"/>
  </cols>
  <sheetData>
    <row r="1" customFormat="1" s="30">
      <c r="A1" s="33" t="inlineStr">
        <is>
          <t>Date</t>
        </is>
      </c>
      <c r="B1" s="33" t="inlineStr">
        <is>
          <t>Day</t>
        </is>
      </c>
      <c r="C1" s="33" t="inlineStr">
        <is>
          <t>Project</t>
        </is>
      </c>
      <c r="D1" s="34" t="inlineStr">
        <is>
          <t>Father Task</t>
        </is>
      </c>
      <c r="E1" s="33" t="inlineStr">
        <is>
          <t>Sub Task</t>
        </is>
      </c>
      <c r="F1" s="33" t="inlineStr">
        <is>
          <t>Category</t>
        </is>
      </c>
      <c r="G1" s="33" t="inlineStr">
        <is>
          <t>Start Time</t>
        </is>
      </c>
      <c r="H1" s="33" t="inlineStr">
        <is>
          <t>End Time</t>
        </is>
      </c>
      <c r="I1" s="34" t="inlineStr">
        <is>
          <t>Duration (h)</t>
        </is>
      </c>
      <c r="J1" s="15" t="inlineStr">
        <is>
          <t>Description</t>
        </is>
      </c>
      <c r="K1" s="49" t="inlineStr">
        <is>
          <t>Project (norm)</t>
        </is>
      </c>
      <c r="L1" s="49" t="inlineStr">
        <is>
          <t>Task (norm)</t>
        </is>
      </c>
      <c r="M1" s="49" t="inlineStr">
        <is>
          <t>Project:Task (helper)</t>
        </is>
      </c>
    </row>
    <row r="2">
      <c r="A2" s="87" t="n">
        <v>46217</v>
      </c>
      <c r="B2" s="36" t="inlineStr">
        <is>
          <t>Tue</t>
        </is>
      </c>
      <c r="C2" s="36" t="inlineStr">
        <is>
          <t>Backend</t>
        </is>
      </c>
      <c r="D2" s="37" t="inlineStr">
        <is>
          <t>API Integration</t>
        </is>
      </c>
      <c r="E2" s="36" t="n"/>
      <c r="F2" s="51" t="inlineStr">
        <is>
          <t>Development</t>
        </is>
      </c>
      <c r="G2" s="51" t="n">
        <v>0.375</v>
      </c>
      <c r="H2" s="52" t="n">
        <v>0.4583333333333333</v>
      </c>
      <c r="I2" s="53">
        <f>IF(AND(G2&lt;&gt;"",H2&lt;&gt;""),(H2-G2)*24,"")</f>
        <v/>
      </c>
      <c r="J2" s="41" t="inlineStr">
        <is>
          <t>Set up REST endpoints</t>
        </is>
      </c>
      <c r="K2" s="54">
        <f>IF(C2&lt;&gt;"",C2,K1)</f>
        <v/>
      </c>
      <c r="L2" s="54">
        <f>IF(D2&lt;&gt;"",D2,L1)</f>
        <v/>
      </c>
      <c r="M2" s="54">
        <f>K2&amp;": "&amp;L2</f>
        <v/>
      </c>
    </row>
    <row r="3">
      <c r="A3" s="88" t="n">
        <v>46217</v>
      </c>
      <c r="B3" t="inlineStr">
        <is>
          <t>Tue</t>
        </is>
      </c>
      <c r="C3" t="inlineStr">
        <is>
          <t>Backend</t>
        </is>
      </c>
      <c r="D3" s="42" t="inlineStr">
        <is>
          <t>API Integration</t>
        </is>
      </c>
      <c r="E3" s="43" t="n"/>
      <c r="F3" s="56" t="inlineStr">
        <is>
          <t>Development</t>
        </is>
      </c>
      <c r="G3" s="56" t="n">
        <v>0.46875</v>
      </c>
      <c r="H3" s="57" t="n">
        <v>0.5208333333333334</v>
      </c>
      <c r="I3" s="53">
        <f>IF(AND(G3&lt;&gt;"",H3&lt;&gt;""),(H3-G3)*24,"")</f>
        <v/>
      </c>
      <c r="J3" s="41" t="inlineStr">
        <is>
          <t>Implement auth middleware</t>
        </is>
      </c>
      <c r="K3" s="54">
        <f>IF(C3&lt;&gt;"",C3,K2)</f>
        <v/>
      </c>
      <c r="L3" s="54">
        <f>IF(D3&lt;&gt;"",D3,L2)</f>
        <v/>
      </c>
      <c r="M3" s="54">
        <f>K3&amp;": "&amp;L3</f>
        <v/>
      </c>
    </row>
    <row r="4">
      <c r="A4" s="88" t="n">
        <v>46217</v>
      </c>
      <c r="B4" t="inlineStr">
        <is>
          <t>Tue</t>
        </is>
      </c>
      <c r="C4" s="36" t="inlineStr">
        <is>
          <t>Backend</t>
        </is>
      </c>
      <c r="D4" s="37" t="inlineStr">
        <is>
          <t>API Integration</t>
        </is>
      </c>
      <c r="E4" s="36" t="n"/>
      <c r="F4" s="51" t="inlineStr">
        <is>
          <t>Testing</t>
        </is>
      </c>
      <c r="G4" s="51" t="n">
        <v>0.5625</v>
      </c>
      <c r="H4" s="52" t="n">
        <v>0.625</v>
      </c>
      <c r="I4" s="53">
        <f>IF(AND(G4&lt;&gt;"",H4&lt;&gt;""),(H4-G4)*24,"")</f>
        <v/>
      </c>
      <c r="J4" s="41" t="inlineStr">
        <is>
          <t>Write integration tests</t>
        </is>
      </c>
      <c r="K4" s="54">
        <f>IF(C4&lt;&gt;"",C4,K3)</f>
        <v/>
      </c>
      <c r="L4" s="54">
        <f>IF(D4&lt;&gt;"",D4,L3)</f>
        <v/>
      </c>
      <c r="M4" s="54">
        <f>K4&amp;": "&amp;L4</f>
        <v/>
      </c>
    </row>
    <row r="5">
      <c r="A5" s="88" t="n">
        <v>46217</v>
      </c>
      <c r="B5" t="inlineStr">
        <is>
          <t>Tue</t>
        </is>
      </c>
      <c r="C5" t="inlineStr">
        <is>
          <t>Backend</t>
        </is>
      </c>
      <c r="D5" s="42" t="inlineStr">
        <is>
          <t>Code Review</t>
        </is>
      </c>
      <c r="E5" s="43" t="n"/>
      <c r="F5" s="56" t="inlineStr">
        <is>
          <t>Review</t>
        </is>
      </c>
      <c r="G5" s="56" t="n">
        <v>0.6354166666666666</v>
      </c>
      <c r="H5" s="57" t="n">
        <v>0.6666666666666666</v>
      </c>
      <c r="I5" s="53">
        <f>IF(AND(G5&lt;&gt;"",H5&lt;&gt;""),(H5-G5)*24,"")</f>
        <v/>
      </c>
      <c r="J5" s="41" t="inlineStr">
        <is>
          <t>Review PR #42</t>
        </is>
      </c>
      <c r="K5" s="54">
        <f>IF(C5&lt;&gt;"",C5,K4)</f>
        <v/>
      </c>
      <c r="L5" s="54">
        <f>IF(D5&lt;&gt;"",D5,L4)</f>
        <v/>
      </c>
      <c r="M5" s="54">
        <f>K5&amp;": "&amp;L5</f>
        <v/>
      </c>
    </row>
    <row r="6" ht="75" customHeight="1">
      <c r="A6" s="87" t="n"/>
      <c r="B6" s="36" t="n"/>
      <c r="C6" s="36" t="n"/>
      <c r="D6" s="37" t="n"/>
      <c r="E6" s="36" t="n"/>
      <c r="F6" s="51" t="n"/>
      <c r="G6" s="51" t="n"/>
      <c r="H6" s="52" t="n"/>
      <c r="I6" s="53">
        <f>IF(AND(G6&lt;&gt;"",H6&lt;&gt;""),(H6-G6)*24,"")</f>
        <v/>
      </c>
      <c r="J6" s="41" t="n"/>
      <c r="K6" s="54">
        <f>IF(C6&lt;&gt;"",C6,K5)</f>
        <v/>
      </c>
      <c r="L6" s="54">
        <f>IF(D6&lt;&gt;"",D6,L5)</f>
        <v/>
      </c>
      <c r="M6" s="54">
        <f>K6&amp;": "&amp;L6</f>
        <v/>
      </c>
    </row>
    <row r="7" ht="30" customHeight="1">
      <c r="A7" s="89" t="n"/>
      <c r="B7" s="43" t="n"/>
      <c r="C7" s="43" t="n"/>
      <c r="D7" s="42" t="n"/>
      <c r="E7" s="43" t="n"/>
      <c r="F7" s="56" t="n"/>
      <c r="G7" s="56" t="n"/>
      <c r="H7" s="57" t="n"/>
      <c r="I7" s="53">
        <f>IF(AND(G7&lt;&gt;"",H7&lt;&gt;""),(H7-G7)*24,"")</f>
        <v/>
      </c>
      <c r="J7" s="41" t="n"/>
      <c r="K7" s="54">
        <f>IF(C7&lt;&gt;"",C7,K6)</f>
        <v/>
      </c>
      <c r="L7" s="54">
        <f>IF(D7&lt;&gt;"",D7,L6)</f>
        <v/>
      </c>
      <c r="M7" s="54">
        <f>K7&amp;": "&amp;L7</f>
        <v/>
      </c>
    </row>
    <row r="8">
      <c r="A8" s="87" t="n"/>
      <c r="B8" s="36" t="n"/>
      <c r="C8" s="36" t="n"/>
      <c r="D8" s="37" t="n"/>
      <c r="E8" s="36" t="n"/>
      <c r="F8" s="51" t="n"/>
      <c r="G8" s="51" t="n"/>
      <c r="H8" s="52" t="n"/>
      <c r="I8" s="53">
        <f>IF(AND(G8&lt;&gt;"",H8&lt;&gt;""),(H8-G8)*24,"")</f>
        <v/>
      </c>
      <c r="J8" s="41" t="n"/>
      <c r="K8" s="54">
        <f>IF(C8&lt;&gt;"",C8,K7)</f>
        <v/>
      </c>
      <c r="L8" s="54">
        <f>IF(D8&lt;&gt;"",D8,L7)</f>
        <v/>
      </c>
      <c r="M8" s="54">
        <f>K8&amp;": "&amp;L8</f>
        <v/>
      </c>
    </row>
    <row r="9">
      <c r="A9" s="89" t="n"/>
      <c r="B9" s="43" t="n"/>
      <c r="C9" s="43" t="n"/>
      <c r="D9" s="42" t="n"/>
      <c r="E9" s="43" t="n"/>
      <c r="F9" s="56" t="n"/>
      <c r="G9" s="56" t="n"/>
      <c r="H9" s="57" t="n"/>
      <c r="I9" s="53">
        <f>IF(AND(G9&lt;&gt;"",H9&lt;&gt;""),(H9-G9)*24,"")</f>
        <v/>
      </c>
      <c r="J9" s="41" t="n"/>
      <c r="K9" s="54">
        <f>IF(C9&lt;&gt;"",C9,K8)</f>
        <v/>
      </c>
      <c r="L9" s="54">
        <f>IF(D9&lt;&gt;"",D9,L8)</f>
        <v/>
      </c>
      <c r="M9" s="54">
        <f>K9&amp;": "&amp;L9</f>
        <v/>
      </c>
    </row>
    <row r="10">
      <c r="A10" s="87" t="n"/>
      <c r="B10" s="36" t="n"/>
      <c r="C10" s="36" t="n"/>
      <c r="D10" s="37" t="n"/>
      <c r="E10" s="36" t="n"/>
      <c r="F10" s="51" t="n"/>
      <c r="G10" s="51" t="n"/>
      <c r="H10" s="52" t="n"/>
      <c r="I10" s="53">
        <f>IF(AND(G10&lt;&gt;"",H10&lt;&gt;""),(H10-G10)*24,"")</f>
        <v/>
      </c>
      <c r="J10" s="41" t="n"/>
      <c r="K10" s="54">
        <f>IF(C10&lt;&gt;"",C10,K9)</f>
        <v/>
      </c>
      <c r="L10" s="54">
        <f>IF(D10&lt;&gt;"",D10,L9)</f>
        <v/>
      </c>
      <c r="M10" s="54">
        <f>K10&amp;": "&amp;L10</f>
        <v/>
      </c>
    </row>
    <row r="11">
      <c r="A11" s="89" t="n"/>
      <c r="B11" s="43" t="n"/>
      <c r="C11" s="43" t="n"/>
      <c r="D11" s="42" t="n"/>
      <c r="E11" s="43" t="n"/>
      <c r="F11" s="56" t="n"/>
      <c r="G11" s="56" t="n"/>
      <c r="H11" s="57" t="n"/>
      <c r="I11" s="53">
        <f>IF(AND(G11&lt;&gt;"",H11&lt;&gt;""),(H11-G11)*24,"")</f>
        <v/>
      </c>
      <c r="J11" s="41" t="n"/>
      <c r="K11" s="54">
        <f>IF(C11&lt;&gt;"",C11,K10)</f>
        <v/>
      </c>
      <c r="L11" s="54">
        <f>IF(D11&lt;&gt;"",D11,L10)</f>
        <v/>
      </c>
      <c r="M11" s="54">
        <f>K11&amp;": "&amp;L11</f>
        <v/>
      </c>
    </row>
    <row r="12">
      <c r="A12" s="87" t="n"/>
      <c r="B12" s="36" t="n"/>
      <c r="C12" s="36" t="n"/>
      <c r="D12" s="37" t="n"/>
      <c r="E12" s="36" t="n"/>
      <c r="F12" s="51" t="n"/>
      <c r="G12" s="51" t="n"/>
      <c r="H12" s="52" t="n"/>
      <c r="I12" s="53">
        <f>IF(AND(G12&lt;&gt;"",H12&lt;&gt;""),(H12-G12)*24,"")</f>
        <v/>
      </c>
      <c r="J12" s="41" t="n"/>
      <c r="K12" s="54">
        <f>IF(C12&lt;&gt;"",C12,K11)</f>
        <v/>
      </c>
      <c r="L12" s="54">
        <f>IF(D12&lt;&gt;"",D12,L11)</f>
        <v/>
      </c>
      <c r="M12" s="54">
        <f>K12&amp;": "&amp;L12</f>
        <v/>
      </c>
    </row>
    <row r="13">
      <c r="A13" s="89" t="n"/>
      <c r="B13" s="43" t="n"/>
      <c r="C13" s="43" t="n"/>
      <c r="D13" s="42" t="n"/>
      <c r="E13" s="43" t="n"/>
      <c r="F13" s="56" t="n"/>
      <c r="G13" s="56" t="n"/>
      <c r="H13" s="57" t="n"/>
      <c r="I13" s="53">
        <f>IF(AND(G13&lt;&gt;"",H13&lt;&gt;""),(H13-G13)*24,"")</f>
        <v/>
      </c>
      <c r="J13" s="41" t="n"/>
      <c r="K13" s="54">
        <f>IF(C13&lt;&gt;"",C13,K12)</f>
        <v/>
      </c>
      <c r="L13" s="54">
        <f>IF(D13&lt;&gt;"",D13,L12)</f>
        <v/>
      </c>
      <c r="M13" s="54">
        <f>K13&amp;": "&amp;L13</f>
        <v/>
      </c>
    </row>
    <row r="14">
      <c r="A14" s="87" t="n"/>
      <c r="B14" s="36" t="n"/>
      <c r="C14" s="36" t="n"/>
      <c r="D14" s="37" t="n"/>
      <c r="E14" s="36" t="n"/>
      <c r="F14" s="51" t="n"/>
      <c r="G14" s="51" t="n"/>
      <c r="H14" s="52" t="n"/>
      <c r="I14" s="53">
        <f>IF(AND(G14&lt;&gt;"",H14&lt;&gt;""),(H14-G14)*24,"")</f>
        <v/>
      </c>
      <c r="J14" s="41" t="n"/>
      <c r="K14" s="54">
        <f>IF(C14&lt;&gt;"",C14,K13)</f>
        <v/>
      </c>
      <c r="L14" s="54">
        <f>IF(D14&lt;&gt;"",D14,L13)</f>
        <v/>
      </c>
      <c r="M14" s="54">
        <f>K14&amp;": "&amp;L14</f>
        <v/>
      </c>
    </row>
    <row r="15">
      <c r="A15" s="89" t="n"/>
      <c r="B15" s="43" t="n"/>
      <c r="C15" s="43" t="n"/>
      <c r="D15" s="42" t="n"/>
      <c r="E15" s="43" t="n"/>
      <c r="F15" s="56" t="n"/>
      <c r="G15" s="56" t="n"/>
      <c r="H15" s="57" t="n"/>
      <c r="I15" s="53">
        <f>IF(AND(G15&lt;&gt;"",H15&lt;&gt;""),(H15-G15)*24,"")</f>
        <v/>
      </c>
      <c r="J15" s="41" t="n"/>
      <c r="K15" s="54">
        <f>IF(C15&lt;&gt;"",C15,K14)</f>
        <v/>
      </c>
      <c r="L15" s="54">
        <f>IF(D15&lt;&gt;"",D15,L14)</f>
        <v/>
      </c>
      <c r="M15" s="54">
        <f>K15&amp;": "&amp;L15</f>
        <v/>
      </c>
    </row>
    <row r="16">
      <c r="A16" s="87" t="n"/>
      <c r="B16" s="36" t="n"/>
      <c r="C16" s="36" t="n"/>
      <c r="D16" s="37" t="n"/>
      <c r="E16" s="36" t="n"/>
      <c r="F16" s="51" t="n"/>
      <c r="G16" s="51" t="n"/>
      <c r="H16" s="52" t="n"/>
      <c r="I16" s="53">
        <f>IF(AND(G16&lt;&gt;"",H16&lt;&gt;""),(H16-G16)*24,"")</f>
        <v/>
      </c>
      <c r="J16" s="41" t="n"/>
      <c r="K16" s="54">
        <f>IF(C16&lt;&gt;"",C16,K15)</f>
        <v/>
      </c>
      <c r="L16" s="54">
        <f>IF(D16&lt;&gt;"",D16,L15)</f>
        <v/>
      </c>
      <c r="M16" s="54">
        <f>K16&amp;": "&amp;L16</f>
        <v/>
      </c>
    </row>
    <row r="17">
      <c r="A17" s="89" t="n"/>
      <c r="B17" s="43" t="n"/>
      <c r="C17" s="43" t="n"/>
      <c r="D17" s="42" t="n"/>
      <c r="E17" s="43" t="n"/>
      <c r="F17" s="56" t="n"/>
      <c r="G17" s="56" t="n"/>
      <c r="H17" s="57" t="n"/>
      <c r="I17" s="53">
        <f>IF(AND(G17&lt;&gt;"",H17&lt;&gt;""),(H17-G17)*24,"")</f>
        <v/>
      </c>
      <c r="J17" s="41" t="n"/>
      <c r="K17" s="54">
        <f>IF(C17&lt;&gt;"",C17,K16)</f>
        <v/>
      </c>
      <c r="L17" s="54">
        <f>IF(D17&lt;&gt;"",D17,L16)</f>
        <v/>
      </c>
      <c r="M17" s="54">
        <f>K17&amp;": "&amp;L17</f>
        <v/>
      </c>
    </row>
    <row r="18">
      <c r="A18" s="87" t="n"/>
      <c r="B18" s="36" t="n"/>
      <c r="C18" s="36" t="n"/>
      <c r="D18" s="37" t="n"/>
      <c r="E18" s="36" t="n"/>
      <c r="F18" s="51" t="n"/>
      <c r="G18" s="51" t="n"/>
      <c r="H18" s="52" t="n"/>
      <c r="I18" s="53">
        <f>IF(AND(G18&lt;&gt;"",H18&lt;&gt;""),(H18-G18)*24,"")</f>
        <v/>
      </c>
      <c r="J18" s="41" t="n"/>
      <c r="K18" s="54">
        <f>IF(C18&lt;&gt;"",C18,K17)</f>
        <v/>
      </c>
      <c r="L18" s="54">
        <f>IF(D18&lt;&gt;"",D18,L17)</f>
        <v/>
      </c>
      <c r="M18" s="54">
        <f>K18&amp;": "&amp;L18</f>
        <v/>
      </c>
    </row>
    <row r="19">
      <c r="A19" s="89" t="n"/>
      <c r="B19" s="43" t="n"/>
      <c r="C19" s="43" t="n"/>
      <c r="D19" s="42" t="n"/>
      <c r="E19" s="43" t="n"/>
      <c r="F19" s="56" t="n"/>
      <c r="G19" s="56" t="n"/>
      <c r="H19" s="57" t="n"/>
      <c r="I19" s="53">
        <f>IF(AND(G19&lt;&gt;"",H19&lt;&gt;""),(H19-G19)*24,"")</f>
        <v/>
      </c>
      <c r="J19" s="41" t="n"/>
      <c r="K19" s="54">
        <f>IF(C19&lt;&gt;"",C19,K18)</f>
        <v/>
      </c>
      <c r="L19" s="54">
        <f>IF(D19&lt;&gt;"",D19,L18)</f>
        <v/>
      </c>
      <c r="M19" s="54">
        <f>K19&amp;": "&amp;L19</f>
        <v/>
      </c>
    </row>
    <row r="20">
      <c r="A20" s="87" t="n"/>
      <c r="B20" s="36" t="n"/>
      <c r="C20" s="36" t="n"/>
      <c r="D20" s="37" t="n"/>
      <c r="E20" s="36" t="n"/>
      <c r="F20" s="51" t="n"/>
      <c r="G20" s="51" t="n"/>
      <c r="H20" s="52" t="n"/>
      <c r="I20" s="53">
        <f>IF(AND(G20&lt;&gt;"",H20&lt;&gt;""),(H20-G20)*24,"")</f>
        <v/>
      </c>
      <c r="J20" s="41" t="n"/>
      <c r="K20" s="54">
        <f>IF(C20&lt;&gt;"",C20,K19)</f>
        <v/>
      </c>
      <c r="L20" s="54">
        <f>IF(D20&lt;&gt;"",D20,L19)</f>
        <v/>
      </c>
      <c r="M20" s="54">
        <f>K20&amp;": "&amp;L20</f>
        <v/>
      </c>
    </row>
    <row r="21">
      <c r="A21" s="89" t="n"/>
      <c r="B21" s="43" t="n"/>
      <c r="C21" s="43" t="n"/>
      <c r="D21" s="42" t="n"/>
      <c r="E21" s="43" t="n"/>
      <c r="F21" s="56" t="n"/>
      <c r="G21" s="56" t="n"/>
      <c r="H21" s="57" t="n"/>
      <c r="I21" s="53">
        <f>IF(AND(G21&lt;&gt;"",H21&lt;&gt;""),(H21-G21)*24,"")</f>
        <v/>
      </c>
      <c r="J21" s="41" t="n"/>
      <c r="K21" s="54">
        <f>IF(C21&lt;&gt;"",C21,K20)</f>
        <v/>
      </c>
      <c r="L21" s="54">
        <f>IF(D21&lt;&gt;"",D21,L20)</f>
        <v/>
      </c>
      <c r="M21" s="54">
        <f>K21&amp;": "&amp;L21</f>
        <v/>
      </c>
    </row>
    <row r="22">
      <c r="A22" s="87" t="n"/>
      <c r="B22" s="36" t="n"/>
      <c r="C22" s="36" t="n"/>
      <c r="D22" s="37" t="n"/>
      <c r="E22" s="36" t="n"/>
      <c r="F22" s="51" t="n"/>
      <c r="G22" s="51" t="n"/>
      <c r="H22" s="52" t="n"/>
      <c r="I22" s="53">
        <f>IF(AND(G22&lt;&gt;"",H22&lt;&gt;""),(H22-G22)*24,"")</f>
        <v/>
      </c>
      <c r="J22" s="41" t="n"/>
      <c r="K22" s="54">
        <f>IF(C22&lt;&gt;"",C22,K21)</f>
        <v/>
      </c>
      <c r="L22" s="54">
        <f>IF(D22&lt;&gt;"",D22,L21)</f>
        <v/>
      </c>
      <c r="M22" s="54">
        <f>K22&amp;": "&amp;L22</f>
        <v/>
      </c>
    </row>
    <row r="23">
      <c r="A23" s="89" t="n"/>
      <c r="B23" s="43" t="n"/>
      <c r="C23" s="43" t="n"/>
      <c r="D23" s="42" t="n"/>
      <c r="E23" s="43" t="n"/>
      <c r="F23" s="56" t="n"/>
      <c r="G23" s="56" t="n"/>
      <c r="H23" s="57" t="n"/>
      <c r="I23" s="53">
        <f>IF(AND(G23&lt;&gt;"",H23&lt;&gt;""),(H23-G23)*24,"")</f>
        <v/>
      </c>
      <c r="J23" s="41" t="n"/>
      <c r="K23" s="54">
        <f>IF(C23&lt;&gt;"",C23,K22)</f>
        <v/>
      </c>
      <c r="L23" s="54">
        <f>IF(D23&lt;&gt;"",D23,L22)</f>
        <v/>
      </c>
      <c r="M23" s="54">
        <f>K23&amp;": "&amp;L23</f>
        <v/>
      </c>
    </row>
    <row r="24">
      <c r="A24" s="87" t="n"/>
      <c r="B24" s="36" t="n"/>
      <c r="C24" s="36" t="n"/>
      <c r="D24" s="37" t="n"/>
      <c r="E24" s="36" t="n"/>
      <c r="F24" s="51" t="n"/>
      <c r="G24" s="51" t="n"/>
      <c r="H24" s="52" t="n"/>
      <c r="I24" s="53">
        <f>IF(AND(G24&lt;&gt;"",H24&lt;&gt;""),(H24-G24)*24,"")</f>
        <v/>
      </c>
      <c r="J24" s="41" t="n"/>
      <c r="K24" s="54">
        <f>IF(C24&lt;&gt;"",C24,K23)</f>
        <v/>
      </c>
      <c r="L24" s="54">
        <f>IF(D24&lt;&gt;"",D24,L23)</f>
        <v/>
      </c>
      <c r="M24" s="54">
        <f>K24&amp;": "&amp;L24</f>
        <v/>
      </c>
    </row>
    <row r="25">
      <c r="A25" s="89" t="n"/>
      <c r="B25" s="43" t="n"/>
      <c r="C25" s="43" t="n"/>
      <c r="D25" s="42" t="n"/>
      <c r="E25" s="43" t="n"/>
      <c r="F25" s="56" t="n"/>
      <c r="G25" s="56" t="n"/>
      <c r="H25" s="57" t="n"/>
      <c r="I25" s="53">
        <f>IF(AND(G25&lt;&gt;"",H25&lt;&gt;""),(H25-G25)*24,"")</f>
        <v/>
      </c>
      <c r="J25" s="41" t="n"/>
      <c r="K25" s="54">
        <f>IF(C25&lt;&gt;"",C25,K24)</f>
        <v/>
      </c>
      <c r="L25" s="54">
        <f>IF(D25&lt;&gt;"",D25,L24)</f>
        <v/>
      </c>
      <c r="M25" s="54">
        <f>K25&amp;": "&amp;L25</f>
        <v/>
      </c>
    </row>
    <row r="26">
      <c r="A26" s="87" t="n"/>
      <c r="B26" s="36" t="n"/>
      <c r="C26" s="36" t="n"/>
      <c r="D26" s="37" t="n"/>
      <c r="E26" s="36" t="n"/>
      <c r="F26" s="51" t="n"/>
      <c r="G26" s="51" t="n"/>
      <c r="H26" s="52" t="n"/>
      <c r="I26" s="53">
        <f>IF(AND(G26&lt;&gt;"",H26&lt;&gt;""),(H26-G26)*24,"")</f>
        <v/>
      </c>
      <c r="J26" s="41" t="n"/>
      <c r="K26" s="54">
        <f>IF(C26&lt;&gt;"",C26,K25)</f>
        <v/>
      </c>
      <c r="L26" s="54">
        <f>IF(D26&lt;&gt;"",D26,L25)</f>
        <v/>
      </c>
      <c r="M26" s="54">
        <f>K26&amp;": "&amp;L26</f>
        <v/>
      </c>
    </row>
    <row r="27">
      <c r="A27" s="89" t="n"/>
      <c r="B27" s="43" t="n"/>
      <c r="C27" s="43" t="n"/>
      <c r="D27" s="42" t="n"/>
      <c r="E27" s="43" t="n"/>
      <c r="F27" s="56" t="n"/>
      <c r="G27" s="56" t="n"/>
      <c r="H27" s="57" t="n"/>
      <c r="I27" s="53">
        <f>IF(AND(G27&lt;&gt;"",H27&lt;&gt;""),(H27-G27)*24,"")</f>
        <v/>
      </c>
      <c r="J27" s="41" t="n"/>
      <c r="K27" s="54">
        <f>IF(C27&lt;&gt;"",C27,K26)</f>
        <v/>
      </c>
      <c r="L27" s="54">
        <f>IF(D27&lt;&gt;"",D27,L26)</f>
        <v/>
      </c>
      <c r="M27" s="54">
        <f>K27&amp;": "&amp;L27</f>
        <v/>
      </c>
    </row>
    <row r="28">
      <c r="A28" s="87" t="n"/>
      <c r="B28" s="36" t="n"/>
      <c r="C28" s="36" t="n"/>
      <c r="D28" s="37" t="n"/>
      <c r="E28" s="36" t="n"/>
      <c r="F28" s="51" t="n"/>
      <c r="G28" s="51" t="n"/>
      <c r="H28" s="52" t="n"/>
      <c r="I28" s="53">
        <f>IF(AND(G28&lt;&gt;"",H28&lt;&gt;""),(H28-G28)*24,"")</f>
        <v/>
      </c>
      <c r="J28" s="41" t="n"/>
      <c r="K28" s="54">
        <f>IF(C28&lt;&gt;"",C28,K27)</f>
        <v/>
      </c>
      <c r="L28" s="54">
        <f>IF(D28&lt;&gt;"",D28,L27)</f>
        <v/>
      </c>
      <c r="M28" s="54">
        <f>K28&amp;": "&amp;L28</f>
        <v/>
      </c>
    </row>
    <row r="29">
      <c r="A29" s="89" t="n"/>
      <c r="B29" s="43" t="n"/>
      <c r="C29" s="43" t="n"/>
      <c r="D29" s="42" t="n"/>
      <c r="E29" s="43" t="n"/>
      <c r="F29" s="56" t="n"/>
      <c r="G29" s="56" t="n"/>
      <c r="H29" s="57" t="n"/>
      <c r="I29" s="53">
        <f>IF(AND(G29&lt;&gt;"",H29&lt;&gt;""),(H29-G29)*24,"")</f>
        <v/>
      </c>
      <c r="J29" s="41" t="n"/>
      <c r="K29" s="54">
        <f>IF(C29&lt;&gt;"",C29,K28)</f>
        <v/>
      </c>
      <c r="L29" s="54">
        <f>IF(D29&lt;&gt;"",D29,L28)</f>
        <v/>
      </c>
      <c r="M29" s="54">
        <f>K29&amp;": "&amp;L29</f>
        <v/>
      </c>
    </row>
    <row r="30">
      <c r="A30" s="87" t="n"/>
      <c r="B30" s="36" t="n"/>
      <c r="C30" s="36" t="n"/>
      <c r="D30" s="37" t="n"/>
      <c r="E30" s="36" t="n"/>
      <c r="F30" s="51" t="n"/>
      <c r="G30" s="51" t="n"/>
      <c r="H30" s="52" t="n"/>
      <c r="I30" s="53">
        <f>IF(AND(G30&lt;&gt;"",H30&lt;&gt;""),(H30-G30)*24,"")</f>
        <v/>
      </c>
      <c r="J30" s="41" t="n"/>
      <c r="K30" s="54">
        <f>IF(C30&lt;&gt;"",C30,K29)</f>
        <v/>
      </c>
      <c r="L30" s="54">
        <f>IF(D30&lt;&gt;"",D30,L29)</f>
        <v/>
      </c>
      <c r="M30" s="54">
        <f>K30&amp;": "&amp;L30</f>
        <v/>
      </c>
    </row>
    <row r="31">
      <c r="A31" s="89" t="n"/>
      <c r="B31" s="43" t="n"/>
      <c r="C31" s="43" t="n"/>
      <c r="D31" s="42" t="n"/>
      <c r="E31" s="43" t="n"/>
      <c r="F31" s="56" t="n"/>
      <c r="G31" s="56" t="n"/>
      <c r="H31" s="57" t="n"/>
      <c r="I31" s="53">
        <f>IF(AND(G31&lt;&gt;"",H31&lt;&gt;""),(H31-G31)*24,"")</f>
        <v/>
      </c>
      <c r="J31" s="41" t="n"/>
      <c r="K31" s="54">
        <f>IF(C31&lt;&gt;"",C31,K30)</f>
        <v/>
      </c>
      <c r="L31" s="54">
        <f>IF(D31&lt;&gt;"",D31,L30)</f>
        <v/>
      </c>
      <c r="M31" s="54">
        <f>K31&amp;": "&amp;L31</f>
        <v/>
      </c>
    </row>
    <row r="32">
      <c r="A32" s="87" t="n"/>
      <c r="B32" s="36" t="n"/>
      <c r="C32" s="36" t="n"/>
      <c r="D32" s="37" t="n"/>
      <c r="E32" s="36" t="n"/>
      <c r="F32" s="51" t="n"/>
      <c r="G32" s="51" t="n"/>
      <c r="H32" s="52" t="n"/>
      <c r="I32" s="53">
        <f>IF(AND(G32&lt;&gt;"",H32&lt;&gt;""),(H32-G32)*24,"")</f>
        <v/>
      </c>
      <c r="J32" s="41" t="n"/>
      <c r="K32" s="54">
        <f>IF(C32&lt;&gt;"",C32,K31)</f>
        <v/>
      </c>
      <c r="L32" s="54">
        <f>IF(D32&lt;&gt;"",D32,L31)</f>
        <v/>
      </c>
      <c r="M32" s="54">
        <f>K32&amp;": "&amp;L32</f>
        <v/>
      </c>
    </row>
    <row r="33">
      <c r="A33" s="89" t="n"/>
      <c r="B33" s="43" t="n"/>
      <c r="C33" s="43" t="n"/>
      <c r="D33" s="42" t="n"/>
      <c r="E33" s="43" t="n"/>
      <c r="F33" s="56" t="n"/>
      <c r="G33" s="56" t="n"/>
      <c r="H33" s="57" t="n"/>
      <c r="I33" s="53">
        <f>IF(AND(G33&lt;&gt;"",H33&lt;&gt;""),(H33-G33)*24,"")</f>
        <v/>
      </c>
      <c r="J33" s="41" t="n"/>
      <c r="K33" s="54">
        <f>IF(C33&lt;&gt;"",C33,K32)</f>
        <v/>
      </c>
      <c r="L33" s="54">
        <f>IF(D33&lt;&gt;"",D33,L32)</f>
        <v/>
      </c>
      <c r="M33" s="54">
        <f>K33&amp;": "&amp;L33</f>
        <v/>
      </c>
    </row>
    <row r="34">
      <c r="A34" s="87" t="n"/>
      <c r="B34" s="36" t="n"/>
      <c r="C34" s="36" t="n"/>
      <c r="D34" s="37" t="n"/>
      <c r="E34" s="36" t="n"/>
      <c r="F34" s="51" t="n"/>
      <c r="G34" s="51" t="n"/>
      <c r="H34" s="52" t="n"/>
      <c r="I34" s="53">
        <f>IF(AND(G34&lt;&gt;"",H34&lt;&gt;""),(H34-G34)*24,"")</f>
        <v/>
      </c>
      <c r="J34" s="41" t="n"/>
      <c r="K34" s="54">
        <f>IF(C34&lt;&gt;"",C34,K33)</f>
        <v/>
      </c>
      <c r="L34" s="54">
        <f>IF(D34&lt;&gt;"",D34,L33)</f>
        <v/>
      </c>
      <c r="M34" s="54">
        <f>K34&amp;": "&amp;L34</f>
        <v/>
      </c>
    </row>
    <row r="35">
      <c r="A35" s="89" t="n"/>
      <c r="B35" s="43" t="n"/>
      <c r="C35" s="43" t="n"/>
      <c r="D35" s="42" t="n"/>
      <c r="E35" s="43" t="n"/>
      <c r="F35" s="56" t="n"/>
      <c r="G35" s="56" t="n"/>
      <c r="H35" s="57" t="n"/>
      <c r="I35" s="53">
        <f>IF(AND(G35&lt;&gt;"",H35&lt;&gt;""),(H35-G35)*24,"")</f>
        <v/>
      </c>
      <c r="J35" s="41" t="n"/>
      <c r="K35" s="54">
        <f>IF(C35&lt;&gt;"",C35,K34)</f>
        <v/>
      </c>
      <c r="L35" s="54">
        <f>IF(D35&lt;&gt;"",D35,L34)</f>
        <v/>
      </c>
      <c r="M35" s="54">
        <f>K35&amp;": "&amp;L35</f>
        <v/>
      </c>
    </row>
    <row r="36">
      <c r="A36" s="87" t="n"/>
      <c r="B36" s="36" t="n"/>
      <c r="C36" s="36" t="n"/>
      <c r="D36" s="37" t="n"/>
      <c r="E36" s="36" t="n"/>
      <c r="F36" s="51" t="n"/>
      <c r="G36" s="51" t="n"/>
      <c r="H36" s="52" t="n"/>
      <c r="I36" s="53">
        <f>IF(AND(G36&lt;&gt;"",H36&lt;&gt;""),(H36-G36)*24,"")</f>
        <v/>
      </c>
      <c r="J36" s="41" t="n"/>
      <c r="K36" s="54">
        <f>IF(C36&lt;&gt;"",C36,K35)</f>
        <v/>
      </c>
      <c r="L36" s="54">
        <f>IF(D36&lt;&gt;"",D36,L35)</f>
        <v/>
      </c>
      <c r="M36" s="54">
        <f>K36&amp;": "&amp;L36</f>
        <v/>
      </c>
    </row>
    <row r="37">
      <c r="A37" s="89" t="n"/>
      <c r="B37" s="43" t="n"/>
      <c r="C37" s="43" t="n"/>
      <c r="D37" s="42" t="n"/>
      <c r="E37" s="43" t="n"/>
      <c r="F37" s="56" t="n"/>
      <c r="G37" s="56" t="n"/>
      <c r="H37" s="57" t="n"/>
      <c r="I37" s="53">
        <f>IF(AND(G37&lt;&gt;"",H37&lt;&gt;""),(H37-G37)*24,"")</f>
        <v/>
      </c>
      <c r="J37" s="41" t="n"/>
      <c r="K37" s="54">
        <f>IF(C37&lt;&gt;"",C37,K36)</f>
        <v/>
      </c>
      <c r="L37" s="54">
        <f>IF(D37&lt;&gt;"",D37,L36)</f>
        <v/>
      </c>
      <c r="M37" s="54">
        <f>K37&amp;": "&amp;L37</f>
        <v/>
      </c>
    </row>
    <row r="38">
      <c r="A38" s="87" t="n"/>
      <c r="B38" s="36" t="n"/>
      <c r="C38" s="36" t="n"/>
      <c r="D38" s="37" t="n"/>
      <c r="E38" s="36" t="n"/>
      <c r="F38" s="51" t="n"/>
      <c r="G38" s="51" t="n"/>
      <c r="H38" s="52" t="n"/>
      <c r="I38" s="53">
        <f>IF(AND(G38&lt;&gt;"",H38&lt;&gt;""),(H38-G38)*24,"")</f>
        <v/>
      </c>
      <c r="J38" s="41" t="n"/>
      <c r="K38" s="54">
        <f>IF(C38&lt;&gt;"",C38,K37)</f>
        <v/>
      </c>
      <c r="L38" s="54">
        <f>IF(D38&lt;&gt;"",D38,L37)</f>
        <v/>
      </c>
      <c r="M38" s="54">
        <f>K38&amp;": "&amp;L38</f>
        <v/>
      </c>
    </row>
    <row r="39">
      <c r="A39" s="89" t="n"/>
      <c r="B39" s="43" t="n"/>
      <c r="C39" s="43" t="n"/>
      <c r="D39" s="42" t="n"/>
      <c r="E39" s="43" t="n"/>
      <c r="F39" s="56" t="n"/>
      <c r="G39" s="56" t="n"/>
      <c r="H39" s="57" t="n"/>
      <c r="I39" s="53">
        <f>IF(AND(G39&lt;&gt;"",H39&lt;&gt;""),(H39-G39)*24,"")</f>
        <v/>
      </c>
      <c r="J39" s="41" t="n"/>
      <c r="K39" s="54">
        <f>IF(C39&lt;&gt;"",C39,K38)</f>
        <v/>
      </c>
      <c r="L39" s="54">
        <f>IF(D39&lt;&gt;"",D39,L38)</f>
        <v/>
      </c>
      <c r="M39" s="54">
        <f>K39&amp;": "&amp;L39</f>
        <v/>
      </c>
    </row>
    <row r="40">
      <c r="A40" s="87" t="n"/>
      <c r="B40" s="36" t="n"/>
      <c r="C40" s="36" t="n"/>
      <c r="D40" s="37" t="n"/>
      <c r="E40" s="36" t="n"/>
      <c r="F40" s="51" t="n"/>
      <c r="G40" s="51" t="n"/>
      <c r="H40" s="52" t="n"/>
      <c r="I40" s="53">
        <f>IF(AND(G40&lt;&gt;"",H40&lt;&gt;""),(H40-G40)*24,"")</f>
        <v/>
      </c>
      <c r="J40" s="41" t="n"/>
      <c r="K40" s="54">
        <f>IF(C40&lt;&gt;"",C40,K39)</f>
        <v/>
      </c>
      <c r="L40" s="54">
        <f>IF(D40&lt;&gt;"",D40,L39)</f>
        <v/>
      </c>
      <c r="M40" s="54">
        <f>K40&amp;": "&amp;L40</f>
        <v/>
      </c>
    </row>
    <row r="41">
      <c r="A41" s="89" t="n"/>
      <c r="B41" s="43" t="n"/>
      <c r="C41" s="43" t="n"/>
      <c r="D41" s="42" t="n"/>
      <c r="E41" s="43" t="n"/>
      <c r="F41" s="56" t="n"/>
      <c r="G41" s="56" t="n"/>
      <c r="H41" s="57" t="n"/>
      <c r="I41" s="53">
        <f>IF(AND(G41&lt;&gt;"",H41&lt;&gt;""),(H41-G41)*24,"")</f>
        <v/>
      </c>
      <c r="J41" s="41" t="n"/>
      <c r="K41" s="54">
        <f>IF(C41&lt;&gt;"",C41,K40)</f>
        <v/>
      </c>
      <c r="L41" s="54">
        <f>IF(D41&lt;&gt;"",D41,L40)</f>
        <v/>
      </c>
      <c r="M41" s="54">
        <f>K41&amp;": "&amp;L41</f>
        <v/>
      </c>
    </row>
    <row r="42">
      <c r="A42" s="87" t="n"/>
      <c r="B42" s="36" t="n"/>
      <c r="C42" s="36" t="n"/>
      <c r="D42" s="37" t="n"/>
      <c r="E42" s="36" t="n"/>
      <c r="F42" s="51" t="n"/>
      <c r="G42" s="51" t="n"/>
      <c r="H42" s="52" t="n"/>
      <c r="I42" s="53">
        <f>IF(AND(G42&lt;&gt;"",H42&lt;&gt;""),(H42-G42)*24,"")</f>
        <v/>
      </c>
      <c r="J42" s="41" t="n"/>
      <c r="K42" s="54">
        <f>IF(C42&lt;&gt;"",C42,K41)</f>
        <v/>
      </c>
      <c r="L42" s="54">
        <f>IF(D42&lt;&gt;"",D42,L41)</f>
        <v/>
      </c>
      <c r="M42" s="54">
        <f>K42&amp;": "&amp;L42</f>
        <v/>
      </c>
    </row>
    <row r="43">
      <c r="A43" s="89" t="n"/>
      <c r="B43" s="43" t="n"/>
      <c r="C43" s="43" t="n"/>
      <c r="D43" s="42" t="n"/>
      <c r="E43" s="43" t="n"/>
      <c r="F43" s="56" t="n"/>
      <c r="G43" s="56" t="n"/>
      <c r="H43" s="57" t="n"/>
      <c r="I43" s="53">
        <f>IF(AND(G43&lt;&gt;"",H43&lt;&gt;""),(H43-G43)*24,"")</f>
        <v/>
      </c>
      <c r="J43" s="41" t="n"/>
      <c r="K43" s="54">
        <f>IF(C43&lt;&gt;"",C43,K42)</f>
        <v/>
      </c>
      <c r="L43" s="54">
        <f>IF(D43&lt;&gt;"",D43,L42)</f>
        <v/>
      </c>
      <c r="M43" s="54">
        <f>K43&amp;": "&amp;L43</f>
        <v/>
      </c>
    </row>
    <row r="44">
      <c r="A44" s="87" t="n"/>
      <c r="B44" s="36" t="n"/>
      <c r="C44" s="36" t="n"/>
      <c r="D44" s="37" t="n"/>
      <c r="E44" s="36" t="n"/>
      <c r="F44" s="51" t="n"/>
      <c r="G44" s="51" t="n"/>
      <c r="H44" s="52" t="n"/>
      <c r="I44" s="53">
        <f>IF(AND(G44&lt;&gt;"",H44&lt;&gt;""),(H44-G44)*24,"")</f>
        <v/>
      </c>
      <c r="J44" s="41" t="n"/>
      <c r="K44" s="54">
        <f>IF(C44&lt;&gt;"",C44,K43)</f>
        <v/>
      </c>
      <c r="L44" s="54">
        <f>IF(D44&lt;&gt;"",D44,L43)</f>
        <v/>
      </c>
      <c r="M44" s="54">
        <f>K44&amp;": "&amp;L44</f>
        <v/>
      </c>
    </row>
    <row r="45">
      <c r="A45" s="89" t="n"/>
      <c r="B45" s="43" t="n"/>
      <c r="C45" s="43" t="n"/>
      <c r="D45" s="42" t="n"/>
      <c r="E45" s="43" t="n"/>
      <c r="F45" s="56" t="n"/>
      <c r="G45" s="56" t="n"/>
      <c r="H45" s="57" t="n"/>
      <c r="I45" s="53">
        <f>IF(AND(G45&lt;&gt;"",H45&lt;&gt;""),(H45-G45)*24,"")</f>
        <v/>
      </c>
      <c r="J45" s="41" t="n"/>
      <c r="K45" s="54">
        <f>IF(C45&lt;&gt;"",C45,K44)</f>
        <v/>
      </c>
      <c r="L45" s="54">
        <f>IF(D45&lt;&gt;"",D45,L44)</f>
        <v/>
      </c>
      <c r="M45" s="54">
        <f>K45&amp;": "&amp;L45</f>
        <v/>
      </c>
    </row>
    <row r="46">
      <c r="A46" s="87" t="n"/>
      <c r="B46" s="36" t="n"/>
      <c r="C46" s="36" t="n"/>
      <c r="D46" s="37" t="n"/>
      <c r="E46" s="36" t="n"/>
      <c r="F46" s="51" t="n"/>
      <c r="G46" s="51" t="n"/>
      <c r="H46" s="52" t="n"/>
      <c r="I46" s="53">
        <f>IF(AND(G46&lt;&gt;"",H46&lt;&gt;""),(H46-G46)*24,"")</f>
        <v/>
      </c>
      <c r="J46" s="41" t="n"/>
      <c r="K46" s="54">
        <f>IF(C46&lt;&gt;"",C46,K45)</f>
        <v/>
      </c>
      <c r="L46" s="54">
        <f>IF(D46&lt;&gt;"",D46,L45)</f>
        <v/>
      </c>
      <c r="M46" s="54">
        <f>K46&amp;": "&amp;L46</f>
        <v/>
      </c>
    </row>
    <row r="47">
      <c r="A47" s="89" t="n"/>
      <c r="B47" s="43" t="n"/>
      <c r="C47" s="43" t="n"/>
      <c r="D47" s="42" t="n"/>
      <c r="E47" s="43" t="n"/>
      <c r="F47" s="56" t="n"/>
      <c r="G47" s="56" t="n"/>
      <c r="H47" s="57" t="n"/>
      <c r="I47" s="53">
        <f>IF(AND(G47&lt;&gt;"",H47&lt;&gt;""),(H47-G47)*24,"")</f>
        <v/>
      </c>
      <c r="J47" s="41" t="n"/>
      <c r="K47" s="54">
        <f>IF(C47&lt;&gt;"",C47,K46)</f>
        <v/>
      </c>
      <c r="L47" s="54">
        <f>IF(D47&lt;&gt;"",D47,L46)</f>
        <v/>
      </c>
      <c r="M47" s="54">
        <f>K47&amp;": "&amp;L47</f>
        <v/>
      </c>
    </row>
    <row r="48">
      <c r="A48" s="87" t="n"/>
      <c r="B48" s="36" t="n"/>
      <c r="C48" s="36" t="n"/>
      <c r="D48" s="37" t="n"/>
      <c r="E48" s="36" t="n"/>
      <c r="F48" s="51" t="n"/>
      <c r="G48" s="51" t="n"/>
      <c r="H48" s="52" t="n"/>
      <c r="I48" s="53">
        <f>IF(AND(G48&lt;&gt;"",H48&lt;&gt;""),(H48-G48)*24,"")</f>
        <v/>
      </c>
      <c r="J48" s="41" t="n"/>
      <c r="K48" s="54">
        <f>IF(C48&lt;&gt;"",C48,K47)</f>
        <v/>
      </c>
      <c r="L48" s="54">
        <f>IF(D48&lt;&gt;"",D48,L47)</f>
        <v/>
      </c>
      <c r="M48" s="54">
        <f>K48&amp;": "&amp;L48</f>
        <v/>
      </c>
    </row>
    <row r="49">
      <c r="A49" s="89" t="n"/>
      <c r="B49" s="43" t="n"/>
      <c r="C49" s="43" t="n"/>
      <c r="D49" s="42" t="n"/>
      <c r="E49" s="43" t="n"/>
      <c r="F49" s="56" t="n"/>
      <c r="G49" s="56" t="n"/>
      <c r="H49" s="57" t="n"/>
      <c r="I49" s="53">
        <f>IF(AND(G49&lt;&gt;"",H49&lt;&gt;""),(H49-G49)*24,"")</f>
        <v/>
      </c>
      <c r="J49" s="41" t="n"/>
      <c r="K49" s="54">
        <f>IF(C49&lt;&gt;"",C49,K48)</f>
        <v/>
      </c>
      <c r="L49" s="54">
        <f>IF(D49&lt;&gt;"",D49,L48)</f>
        <v/>
      </c>
      <c r="M49" s="54">
        <f>K49&amp;": "&amp;L49</f>
        <v/>
      </c>
    </row>
    <row r="50">
      <c r="A50" s="87" t="n"/>
      <c r="B50" s="36" t="n"/>
      <c r="C50" s="36" t="n"/>
      <c r="D50" s="37" t="n"/>
      <c r="E50" s="36" t="n"/>
      <c r="F50" s="51" t="n"/>
      <c r="G50" s="51" t="n"/>
      <c r="H50" s="52" t="n"/>
      <c r="I50" s="53">
        <f>IF(AND(G50&lt;&gt;"",H50&lt;&gt;""),(H50-G50)*24,"")</f>
        <v/>
      </c>
      <c r="J50" s="41" t="n"/>
      <c r="K50" s="54">
        <f>IF(C50&lt;&gt;"",C50,K49)</f>
        <v/>
      </c>
      <c r="L50" s="54">
        <f>IF(D50&lt;&gt;"",D50,L49)</f>
        <v/>
      </c>
      <c r="M50" s="54">
        <f>K50&amp;": "&amp;L50</f>
        <v/>
      </c>
    </row>
    <row r="51">
      <c r="A51" s="89" t="n"/>
      <c r="B51" s="43" t="n"/>
      <c r="C51" s="43" t="n"/>
      <c r="D51" s="42" t="n"/>
      <c r="E51" s="43" t="n"/>
      <c r="F51" s="56" t="n"/>
      <c r="G51" s="56" t="n"/>
      <c r="H51" s="57" t="n"/>
      <c r="I51" s="53">
        <f>IF(AND(G51&lt;&gt;"",H51&lt;&gt;""),(H51-G51)*24,"")</f>
        <v/>
      </c>
      <c r="J51" s="41" t="n"/>
      <c r="K51" s="54">
        <f>IF(C51&lt;&gt;"",C51,K50)</f>
        <v/>
      </c>
      <c r="L51" s="54">
        <f>IF(D51&lt;&gt;"",D51,L50)</f>
        <v/>
      </c>
      <c r="M51" s="54">
        <f>K51&amp;": "&amp;L51</f>
        <v/>
      </c>
    </row>
    <row r="52">
      <c r="A52" s="87" t="n"/>
      <c r="B52" s="36" t="n"/>
      <c r="C52" s="36" t="n"/>
      <c r="D52" s="37" t="n"/>
      <c r="E52" s="36" t="n"/>
      <c r="F52" s="51" t="n"/>
      <c r="G52" s="51" t="n"/>
      <c r="H52" s="52" t="n"/>
      <c r="I52" s="53">
        <f>IF(AND(G52&lt;&gt;"",H52&lt;&gt;""),(H52-G52)*24,"")</f>
        <v/>
      </c>
      <c r="J52" s="41" t="n"/>
      <c r="K52" s="54">
        <f>IF(C52&lt;&gt;"",C52,K51)</f>
        <v/>
      </c>
      <c r="L52" s="54">
        <f>IF(D52&lt;&gt;"",D52,L51)</f>
        <v/>
      </c>
      <c r="M52" s="54">
        <f>K52&amp;": "&amp;L52</f>
        <v/>
      </c>
    </row>
    <row r="53">
      <c r="A53" s="89" t="n"/>
      <c r="B53" s="43" t="n"/>
      <c r="C53" s="43" t="n"/>
      <c r="D53" s="42" t="n"/>
      <c r="E53" s="43" t="n"/>
      <c r="F53" s="56" t="n"/>
      <c r="G53" s="56" t="n"/>
      <c r="H53" s="57" t="n"/>
      <c r="I53" s="53">
        <f>IF(AND(G53&lt;&gt;"",H53&lt;&gt;""),(H53-G53)*24,"")</f>
        <v/>
      </c>
      <c r="J53" s="41" t="n"/>
      <c r="K53" s="54">
        <f>IF(C53&lt;&gt;"",C53,K52)</f>
        <v/>
      </c>
      <c r="L53" s="54">
        <f>IF(D53&lt;&gt;"",D53,L52)</f>
        <v/>
      </c>
      <c r="M53" s="54">
        <f>K53&amp;": "&amp;L53</f>
        <v/>
      </c>
    </row>
    <row r="54">
      <c r="A54" s="87" t="n"/>
      <c r="B54" s="36" t="n"/>
      <c r="C54" s="36" t="n"/>
      <c r="D54" s="37" t="n"/>
      <c r="E54" s="36" t="n"/>
      <c r="F54" s="51" t="n"/>
      <c r="G54" s="51" t="n"/>
      <c r="H54" s="52" t="n"/>
      <c r="I54" s="53">
        <f>IF(AND(G54&lt;&gt;"",H54&lt;&gt;""),(H54-G54)*24,"")</f>
        <v/>
      </c>
      <c r="J54" s="41" t="n"/>
      <c r="K54" s="54">
        <f>IF(C54&lt;&gt;"",C54,K53)</f>
        <v/>
      </c>
      <c r="L54" s="54">
        <f>IF(D54&lt;&gt;"",D54,L53)</f>
        <v/>
      </c>
      <c r="M54" s="54">
        <f>K54&amp;": "&amp;L54</f>
        <v/>
      </c>
    </row>
    <row r="55">
      <c r="A55" s="88" t="n"/>
      <c r="G55" s="59" t="n"/>
      <c r="H55" s="59" t="n"/>
      <c r="I55" s="60">
        <f>IF(AND(G55&lt;&gt;"",H55&lt;&gt;""),(H55-G55)*24,"")</f>
        <v/>
      </c>
      <c r="J55" s="41" t="n"/>
      <c r="K55" s="54">
        <f>IF(C55&lt;&gt;"",C55,K54)</f>
        <v/>
      </c>
      <c r="L55" s="54">
        <f>IF(D55&lt;&gt;"",D55,L54)</f>
        <v/>
      </c>
      <c r="M55" s="54">
        <f>K55&amp;": "&amp;L55</f>
        <v/>
      </c>
    </row>
    <row r="56">
      <c r="A56" s="88" t="n"/>
      <c r="G56" s="59" t="n"/>
      <c r="H56" s="59" t="n"/>
      <c r="I56" s="60">
        <f>IF(AND(G56&lt;&gt;"",H56&lt;&gt;""),(H56-G56)*24,"")</f>
        <v/>
      </c>
      <c r="J56" s="41" t="n"/>
      <c r="K56" s="54">
        <f>IF(C56&lt;&gt;"",C56,K55)</f>
        <v/>
      </c>
      <c r="L56" s="54">
        <f>IF(D56&lt;&gt;"",D56,L55)</f>
        <v/>
      </c>
      <c r="M56" s="54">
        <f>K56&amp;": "&amp;L56</f>
        <v/>
      </c>
    </row>
    <row r="57">
      <c r="A57" s="88" t="n"/>
      <c r="G57" s="59" t="n"/>
      <c r="H57" s="59" t="n"/>
      <c r="I57" s="60">
        <f>IF(AND(G57&lt;&gt;"",H57&lt;&gt;""),(H57-G57)*24,"")</f>
        <v/>
      </c>
      <c r="J57" s="41" t="n"/>
      <c r="K57" s="54">
        <f>IF(C57&lt;&gt;"",C57,K56)</f>
        <v/>
      </c>
      <c r="L57" s="54">
        <f>IF(D57&lt;&gt;"",D57,L56)</f>
        <v/>
      </c>
      <c r="M57" s="54">
        <f>K57&amp;": "&amp;L57</f>
        <v/>
      </c>
    </row>
    <row r="58">
      <c r="A58" s="88" t="n"/>
      <c r="G58" s="59" t="n"/>
      <c r="H58" s="59" t="n"/>
      <c r="I58" s="60">
        <f>IF(AND(G58&lt;&gt;"",H58&lt;&gt;""),(H58-G58)*24,"")</f>
        <v/>
      </c>
      <c r="J58" s="41" t="n"/>
      <c r="K58" s="54">
        <f>IF(C58&lt;&gt;"",C58,K57)</f>
        <v/>
      </c>
      <c r="L58" s="54">
        <f>IF(D58&lt;&gt;"",D58,L57)</f>
        <v/>
      </c>
      <c r="M58" s="54">
        <f>K58&amp;": "&amp;L58</f>
        <v/>
      </c>
    </row>
    <row r="59">
      <c r="A59" s="88" t="n"/>
      <c r="G59" s="59" t="n"/>
      <c r="H59" s="59" t="n"/>
      <c r="I59" s="60">
        <f>IF(AND(G59&lt;&gt;"",H59&lt;&gt;""),(H59-G59)*24,"")</f>
        <v/>
      </c>
      <c r="J59" s="41" t="n"/>
      <c r="K59" s="54">
        <f>IF(C59&lt;&gt;"",C59,K58)</f>
        <v/>
      </c>
      <c r="L59" s="54">
        <f>IF(D59&lt;&gt;"",D59,L58)</f>
        <v/>
      </c>
      <c r="M59" s="54">
        <f>K59&amp;": "&amp;L59</f>
        <v/>
      </c>
    </row>
    <row r="60">
      <c r="A60" s="88" t="n"/>
      <c r="G60" s="59" t="n"/>
      <c r="H60" s="59" t="n"/>
      <c r="I60" s="60">
        <f>IF(AND(G60&lt;&gt;"",H60&lt;&gt;""),(H60-G60)*24,"")</f>
        <v/>
      </c>
      <c r="J60" s="41" t="n"/>
      <c r="K60" s="54">
        <f>IF(C60&lt;&gt;"",C60,K59)</f>
        <v/>
      </c>
      <c r="L60" s="54">
        <f>IF(D60&lt;&gt;"",D60,L59)</f>
        <v/>
      </c>
      <c r="M60" s="54">
        <f>K60&amp;": "&amp;L60</f>
        <v/>
      </c>
    </row>
    <row r="61">
      <c r="A61" s="88" t="n"/>
      <c r="G61" s="59" t="n"/>
      <c r="H61" s="59" t="n"/>
      <c r="I61" s="60">
        <f>IF(AND(G61&lt;&gt;"",H61&lt;&gt;""),(H61-G61)*24,"")</f>
        <v/>
      </c>
      <c r="J61" s="41" t="n"/>
      <c r="K61" s="54">
        <f>IF(C61&lt;&gt;"",C61,K60)</f>
        <v/>
      </c>
      <c r="L61" s="54">
        <f>IF(D61&lt;&gt;"",D61,L60)</f>
        <v/>
      </c>
      <c r="M61" s="54">
        <f>K61&amp;": "&amp;L61</f>
        <v/>
      </c>
    </row>
    <row r="62">
      <c r="A62" s="88" t="n"/>
      <c r="G62" s="59" t="n"/>
      <c r="H62" s="59" t="n"/>
      <c r="I62" s="60">
        <f>IF(AND(G62&lt;&gt;"",H62&lt;&gt;""),(H62-G62)*24,"")</f>
        <v/>
      </c>
      <c r="J62" s="41" t="n"/>
      <c r="K62" s="54">
        <f>IF(C62&lt;&gt;"",C62,K61)</f>
        <v/>
      </c>
      <c r="L62" s="54">
        <f>IF(D62&lt;&gt;"",D62,L61)</f>
        <v/>
      </c>
      <c r="M62" s="54">
        <f>K62&amp;": "&amp;L62</f>
        <v/>
      </c>
    </row>
    <row r="63">
      <c r="A63" s="88" t="n"/>
      <c r="G63" s="59" t="n"/>
      <c r="H63" s="59" t="n"/>
      <c r="I63" s="60">
        <f>IF(AND(G63&lt;&gt;"",H63&lt;&gt;""),(H63-G63)*24,"")</f>
        <v/>
      </c>
      <c r="J63" s="41" t="n"/>
      <c r="K63" s="54">
        <f>IF(C63&lt;&gt;"",C63,K62)</f>
        <v/>
      </c>
      <c r="L63" s="54">
        <f>IF(D63&lt;&gt;"",D63,L62)</f>
        <v/>
      </c>
      <c r="M63" s="54">
        <f>K63&amp;": "&amp;L63</f>
        <v/>
      </c>
    </row>
    <row r="64">
      <c r="A64" s="88" t="n"/>
      <c r="G64" s="59" t="n"/>
      <c r="H64" s="59" t="n"/>
      <c r="I64" s="60">
        <f>IF(AND(G64&lt;&gt;"",H64&lt;&gt;""),(H64-G64)*24,"")</f>
        <v/>
      </c>
      <c r="J64" s="41" t="n"/>
      <c r="K64" s="54">
        <f>IF(C64&lt;&gt;"",C64,K63)</f>
        <v/>
      </c>
      <c r="L64" s="54">
        <f>IF(D64&lt;&gt;"",D64,L63)</f>
        <v/>
      </c>
      <c r="M64" s="54">
        <f>K64&amp;": "&amp;L64</f>
        <v/>
      </c>
    </row>
    <row r="65">
      <c r="A65" s="88" t="n"/>
      <c r="G65" s="59" t="n"/>
      <c r="H65" s="59" t="n"/>
      <c r="I65" s="60">
        <f>IF(AND(G65&lt;&gt;"",H65&lt;&gt;""),(H65-G65)*24,"")</f>
        <v/>
      </c>
      <c r="J65" s="41" t="n"/>
      <c r="K65" s="54">
        <f>IF(C65&lt;&gt;"",C65,K64)</f>
        <v/>
      </c>
      <c r="L65" s="54">
        <f>IF(D65&lt;&gt;"",D65,L64)</f>
        <v/>
      </c>
      <c r="M65" s="54">
        <f>K65&amp;": "&amp;L65</f>
        <v/>
      </c>
    </row>
    <row r="66">
      <c r="A66" s="88" t="n"/>
      <c r="G66" s="59" t="n"/>
      <c r="H66" s="59" t="n"/>
      <c r="I66" s="60">
        <f>IF(AND(G66&lt;&gt;"",H66&lt;&gt;""),(H66-G66)*24,"")</f>
        <v/>
      </c>
      <c r="J66" s="41" t="n"/>
      <c r="K66" s="54">
        <f>IF(C66&lt;&gt;"",C66,K65)</f>
        <v/>
      </c>
      <c r="L66" s="54">
        <f>IF(D66&lt;&gt;"",D66,L65)</f>
        <v/>
      </c>
      <c r="M66" s="54">
        <f>K66&amp;": "&amp;L66</f>
        <v/>
      </c>
    </row>
    <row r="67">
      <c r="A67" s="88" t="n"/>
      <c r="G67" s="59" t="n"/>
      <c r="H67" s="59" t="n"/>
      <c r="I67" s="60">
        <f>IF(AND(G67&lt;&gt;"",H67&lt;&gt;""),(H67-G67)*24,"")</f>
        <v/>
      </c>
      <c r="J67" s="41" t="n"/>
      <c r="K67" s="54">
        <f>IF(C67&lt;&gt;"",C67,K66)</f>
        <v/>
      </c>
      <c r="L67" s="54">
        <f>IF(D67&lt;&gt;"",D67,L66)</f>
        <v/>
      </c>
      <c r="M67" s="54">
        <f>K67&amp;": "&amp;L67</f>
        <v/>
      </c>
    </row>
    <row r="68">
      <c r="A68" s="88" t="n"/>
      <c r="G68" s="59" t="n"/>
      <c r="H68" s="59" t="n"/>
      <c r="I68" s="60">
        <f>IF(AND(G68&lt;&gt;"",H68&lt;&gt;""),(H68-G68)*24,"")</f>
        <v/>
      </c>
      <c r="J68" s="41" t="n"/>
      <c r="K68" s="54">
        <f>IF(C68&lt;&gt;"",C68,K67)</f>
        <v/>
      </c>
      <c r="L68" s="54">
        <f>IF(D68&lt;&gt;"",D68,L67)</f>
        <v/>
      </c>
      <c r="M68" s="54">
        <f>K68&amp;": "&amp;L68</f>
        <v/>
      </c>
    </row>
    <row r="69">
      <c r="A69" s="88" t="n"/>
      <c r="G69" s="59" t="n"/>
      <c r="H69" s="59" t="n"/>
      <c r="I69" s="60">
        <f>IF(AND(G69&lt;&gt;"",H69&lt;&gt;""),(H69-G69)*24,"")</f>
        <v/>
      </c>
      <c r="J69" s="41" t="n"/>
      <c r="K69" s="54">
        <f>IF(C69&lt;&gt;"",C69,K68)</f>
        <v/>
      </c>
      <c r="L69" s="54">
        <f>IF(D69&lt;&gt;"",D69,L68)</f>
        <v/>
      </c>
      <c r="M69" s="54">
        <f>K69&amp;": "&amp;L69</f>
        <v/>
      </c>
    </row>
    <row r="70">
      <c r="A70" s="88" t="n"/>
      <c r="G70" s="59" t="n"/>
      <c r="H70" s="59" t="n"/>
      <c r="I70" s="60">
        <f>IF(AND(G70&lt;&gt;"",H70&lt;&gt;""),(H70-G70)*24,"")</f>
        <v/>
      </c>
      <c r="J70" s="41" t="n"/>
      <c r="K70" s="54">
        <f>IF(C70&lt;&gt;"",C70,K69)</f>
        <v/>
      </c>
      <c r="L70" s="54">
        <f>IF(D70&lt;&gt;"",D70,L69)</f>
        <v/>
      </c>
      <c r="M70" s="54">
        <f>K70&amp;": "&amp;L70</f>
        <v/>
      </c>
    </row>
    <row r="71">
      <c r="A71" s="88" t="n"/>
      <c r="G71" s="59" t="n"/>
      <c r="H71" s="59" t="n"/>
      <c r="I71" s="60">
        <f>IF(AND(G71&lt;&gt;"",H71&lt;&gt;""),(H71-G71)*24,"")</f>
        <v/>
      </c>
      <c r="J71" s="41" t="n"/>
      <c r="K71" s="54">
        <f>IF(C71&lt;&gt;"",C71,K70)</f>
        <v/>
      </c>
      <c r="L71" s="54">
        <f>IF(D71&lt;&gt;"",D71,L70)</f>
        <v/>
      </c>
      <c r="M71" s="54">
        <f>K71&amp;": "&amp;L71</f>
        <v/>
      </c>
    </row>
    <row r="72">
      <c r="A72" s="88" t="n"/>
      <c r="G72" s="59" t="n"/>
      <c r="H72" s="59" t="n"/>
      <c r="I72" s="60">
        <f>IF(AND(G72&lt;&gt;"",H72&lt;&gt;""),(H72-G72)*24,"")</f>
        <v/>
      </c>
      <c r="J72" s="41" t="n"/>
      <c r="K72" s="54">
        <f>IF(C72&lt;&gt;"",C72,K71)</f>
        <v/>
      </c>
      <c r="L72" s="54">
        <f>IF(D72&lt;&gt;"",D72,L71)</f>
        <v/>
      </c>
      <c r="M72" s="54">
        <f>K72&amp;": "&amp;L72</f>
        <v/>
      </c>
    </row>
    <row r="73">
      <c r="A73" s="88" t="n"/>
      <c r="G73" s="59" t="n"/>
      <c r="H73" s="59" t="n"/>
      <c r="I73" s="60">
        <f>IF(AND(G73&lt;&gt;"",H73&lt;&gt;""),(H73-G73)*24,"")</f>
        <v/>
      </c>
      <c r="J73" s="41" t="n"/>
      <c r="K73" s="54">
        <f>IF(C73&lt;&gt;"",C73,K72)</f>
        <v/>
      </c>
      <c r="L73" s="54">
        <f>IF(D73&lt;&gt;"",D73,L72)</f>
        <v/>
      </c>
      <c r="M73" s="54">
        <f>K73&amp;": "&amp;L73</f>
        <v/>
      </c>
    </row>
    <row r="74">
      <c r="A74" s="88" t="n"/>
      <c r="G74" s="59" t="n"/>
      <c r="H74" s="59" t="n"/>
      <c r="I74" s="60">
        <f>IF(AND(G74&lt;&gt;"",H74&lt;&gt;""),(H74-G74)*24,"")</f>
        <v/>
      </c>
      <c r="J74" s="41" t="n"/>
      <c r="K74" s="54">
        <f>IF(C74&lt;&gt;"",C74,K73)</f>
        <v/>
      </c>
      <c r="L74" s="54">
        <f>IF(D74&lt;&gt;"",D74,L73)</f>
        <v/>
      </c>
      <c r="M74" s="54">
        <f>K74&amp;": "&amp;L74</f>
        <v/>
      </c>
    </row>
    <row r="75">
      <c r="A75" s="88" t="n"/>
      <c r="G75" s="59" t="n"/>
      <c r="H75" s="59" t="n"/>
      <c r="I75" s="60">
        <f>IF(AND(G75&lt;&gt;"",H75&lt;&gt;""),(H75-G75)*24,"")</f>
        <v/>
      </c>
      <c r="J75" s="41" t="n"/>
      <c r="K75" s="54">
        <f>IF(C75&lt;&gt;"",C75,K74)</f>
        <v/>
      </c>
      <c r="L75" s="54">
        <f>IF(D75&lt;&gt;"",D75,L74)</f>
        <v/>
      </c>
      <c r="M75" s="54">
        <f>K75&amp;": "&amp;L75</f>
        <v/>
      </c>
    </row>
    <row r="76">
      <c r="A76" s="88" t="n"/>
      <c r="G76" s="59" t="n"/>
      <c r="H76" s="59" t="n"/>
      <c r="I76" s="60">
        <f>IF(AND(G76&lt;&gt;"",H76&lt;&gt;""),(H76-G76)*24,"")</f>
        <v/>
      </c>
      <c r="J76" s="41" t="n"/>
      <c r="K76" s="54">
        <f>IF(C76&lt;&gt;"",C76,K75)</f>
        <v/>
      </c>
      <c r="L76" s="54">
        <f>IF(D76&lt;&gt;"",D76,L75)</f>
        <v/>
      </c>
      <c r="M76" s="54">
        <f>K76&amp;": "&amp;L76</f>
        <v/>
      </c>
    </row>
    <row r="77">
      <c r="A77" s="88" t="n"/>
      <c r="G77" s="59" t="n"/>
      <c r="H77" s="59" t="n"/>
      <c r="I77" s="60">
        <f>IF(AND(G77&lt;&gt;"",H77&lt;&gt;""),(H77-G77)*24,"")</f>
        <v/>
      </c>
      <c r="J77" s="41" t="n"/>
      <c r="K77" s="54">
        <f>IF(C77&lt;&gt;"",C77,K76)</f>
        <v/>
      </c>
      <c r="L77" s="54">
        <f>IF(D77&lt;&gt;"",D77,L76)</f>
        <v/>
      </c>
      <c r="M77" s="54">
        <f>K77&amp;": "&amp;L77</f>
        <v/>
      </c>
    </row>
    <row r="78">
      <c r="A78" s="88" t="n"/>
      <c r="G78" s="59" t="n"/>
      <c r="H78" s="59" t="n"/>
      <c r="I78" s="60">
        <f>IF(AND(G78&lt;&gt;"",H78&lt;&gt;""),(H78-G78)*24,"")</f>
        <v/>
      </c>
      <c r="J78" s="41" t="n"/>
      <c r="K78" s="54">
        <f>IF(C78&lt;&gt;"",C78,K77)</f>
        <v/>
      </c>
      <c r="L78" s="54">
        <f>IF(D78&lt;&gt;"",D78,L77)</f>
        <v/>
      </c>
      <c r="M78" s="54">
        <f>K78&amp;": "&amp;L78</f>
        <v/>
      </c>
    </row>
    <row r="79">
      <c r="A79" s="88" t="n"/>
      <c r="G79" s="59" t="n"/>
      <c r="H79" s="59" t="n"/>
      <c r="I79" s="60">
        <f>IF(AND(G79&lt;&gt;"",H79&lt;&gt;""),(H79-G79)*24,"")</f>
        <v/>
      </c>
      <c r="J79" s="41" t="n"/>
      <c r="K79" s="54">
        <f>IF(C79&lt;&gt;"",C79,K78)</f>
        <v/>
      </c>
      <c r="L79" s="54">
        <f>IF(D79&lt;&gt;"",D79,L78)</f>
        <v/>
      </c>
      <c r="M79" s="54">
        <f>K79&amp;": "&amp;L79</f>
        <v/>
      </c>
    </row>
    <row r="80">
      <c r="A80" s="88" t="n"/>
      <c r="G80" s="59" t="n"/>
      <c r="H80" s="59" t="n"/>
      <c r="I80" s="60">
        <f>IF(AND(G80&lt;&gt;"",H80&lt;&gt;""),(H80-G80)*24,"")</f>
        <v/>
      </c>
      <c r="J80" s="41" t="n"/>
      <c r="K80" s="54">
        <f>IF(C80&lt;&gt;"",C80,K79)</f>
        <v/>
      </c>
      <c r="L80" s="54">
        <f>IF(D80&lt;&gt;"",D80,L79)</f>
        <v/>
      </c>
      <c r="M80" s="54">
        <f>K80&amp;": "&amp;L80</f>
        <v/>
      </c>
    </row>
    <row r="81">
      <c r="A81" s="88" t="n"/>
      <c r="G81" s="59" t="n"/>
      <c r="H81" s="59" t="n"/>
      <c r="I81" s="60">
        <f>IF(AND(G81&lt;&gt;"",H81&lt;&gt;""),(H81-G81)*24,"")</f>
        <v/>
      </c>
      <c r="J81" s="41" t="n"/>
      <c r="K81" s="54">
        <f>IF(C81&lt;&gt;"",C81,K80)</f>
        <v/>
      </c>
      <c r="L81" s="54">
        <f>IF(D81&lt;&gt;"",D81,L80)</f>
        <v/>
      </c>
      <c r="M81" s="54">
        <f>K81&amp;": "&amp;L81</f>
        <v/>
      </c>
    </row>
    <row r="82">
      <c r="A82" s="88" t="n"/>
      <c r="G82" s="59" t="n"/>
      <c r="H82" s="59" t="n"/>
      <c r="I82" s="60">
        <f>IF(AND(G82&lt;&gt;"",H82&lt;&gt;""),(H82-G82)*24,"")</f>
        <v/>
      </c>
      <c r="J82" s="41" t="n"/>
      <c r="K82" s="54">
        <f>IF(C82&lt;&gt;"",C82,K81)</f>
        <v/>
      </c>
      <c r="L82" s="54">
        <f>IF(D82&lt;&gt;"",D82,L81)</f>
        <v/>
      </c>
      <c r="M82" s="54">
        <f>K82&amp;": "&amp;L82</f>
        <v/>
      </c>
    </row>
    <row r="83">
      <c r="A83" s="88" t="n"/>
      <c r="G83" s="59" t="n"/>
      <c r="H83" s="59" t="n"/>
      <c r="I83" s="60">
        <f>IF(AND(G83&lt;&gt;"",H83&lt;&gt;""),(H83-G83)*24,"")</f>
        <v/>
      </c>
      <c r="J83" s="41" t="n"/>
      <c r="K83" s="54">
        <f>IF(C83&lt;&gt;"",C83,K82)</f>
        <v/>
      </c>
      <c r="L83" s="54">
        <f>IF(D83&lt;&gt;"",D83,L82)</f>
        <v/>
      </c>
      <c r="M83" s="54">
        <f>K83&amp;": "&amp;L83</f>
        <v/>
      </c>
    </row>
    <row r="84">
      <c r="A84" s="88" t="n"/>
      <c r="G84" s="59" t="n"/>
      <c r="H84" s="59" t="n"/>
      <c r="I84" s="60">
        <f>IF(AND(G84&lt;&gt;"",H84&lt;&gt;""),(H84-G84)*24,"")</f>
        <v/>
      </c>
      <c r="J84" s="41" t="n"/>
      <c r="K84" s="54">
        <f>IF(C84&lt;&gt;"",C84,K83)</f>
        <v/>
      </c>
      <c r="L84" s="54">
        <f>IF(D84&lt;&gt;"",D84,L83)</f>
        <v/>
      </c>
      <c r="M84" s="54">
        <f>K84&amp;": "&amp;L84</f>
        <v/>
      </c>
    </row>
    <row r="85">
      <c r="A85" s="88" t="n"/>
      <c r="G85" s="59" t="n"/>
      <c r="H85" s="59" t="n"/>
      <c r="I85" s="60">
        <f>IF(AND(G85&lt;&gt;"",H85&lt;&gt;""),(H85-G85)*24,"")</f>
        <v/>
      </c>
      <c r="J85" s="41" t="n"/>
      <c r="K85" s="54">
        <f>IF(C85&lt;&gt;"",C85,K84)</f>
        <v/>
      </c>
      <c r="L85" s="54">
        <f>IF(D85&lt;&gt;"",D85,L84)</f>
        <v/>
      </c>
      <c r="M85" s="54">
        <f>K85&amp;": "&amp;L85</f>
        <v/>
      </c>
    </row>
    <row r="86">
      <c r="A86" s="88" t="n"/>
      <c r="G86" s="59" t="n"/>
      <c r="H86" s="59" t="n"/>
      <c r="I86" s="60">
        <f>IF(AND(G86&lt;&gt;"",H86&lt;&gt;""),(H86-G86)*24,"")</f>
        <v/>
      </c>
      <c r="J86" s="41" t="n"/>
      <c r="K86" s="54">
        <f>IF(C86&lt;&gt;"",C86,K85)</f>
        <v/>
      </c>
      <c r="L86" s="54">
        <f>IF(D86&lt;&gt;"",D86,L85)</f>
        <v/>
      </c>
      <c r="M86" s="54">
        <f>K86&amp;": "&amp;L86</f>
        <v/>
      </c>
    </row>
    <row r="87">
      <c r="A87" s="88" t="n"/>
      <c r="G87" s="59" t="n"/>
      <c r="H87" s="59" t="n"/>
      <c r="I87" s="60">
        <f>IF(AND(G87&lt;&gt;"",H87&lt;&gt;""),(H87-G87)*24,"")</f>
        <v/>
      </c>
      <c r="J87" s="41" t="n"/>
      <c r="K87" s="54">
        <f>IF(C87&lt;&gt;"",C87,K86)</f>
        <v/>
      </c>
      <c r="L87" s="54">
        <f>IF(D87&lt;&gt;"",D87,L86)</f>
        <v/>
      </c>
      <c r="M87" s="54">
        <f>K87&amp;": "&amp;L87</f>
        <v/>
      </c>
    </row>
    <row r="88">
      <c r="A88" s="88" t="n"/>
      <c r="G88" s="59" t="n"/>
      <c r="H88" s="59" t="n"/>
      <c r="I88" s="60">
        <f>IF(AND(G88&lt;&gt;"",H88&lt;&gt;""),(H88-G88)*24,"")</f>
        <v/>
      </c>
      <c r="J88" s="41" t="n"/>
      <c r="K88" s="54">
        <f>IF(C88&lt;&gt;"",C88,K87)</f>
        <v/>
      </c>
      <c r="L88" s="54">
        <f>IF(D88&lt;&gt;"",D88,L87)</f>
        <v/>
      </c>
      <c r="M88" s="54">
        <f>K88&amp;": "&amp;L88</f>
        <v/>
      </c>
    </row>
    <row r="89">
      <c r="A89" s="88" t="n"/>
      <c r="G89" s="59" t="n"/>
      <c r="H89" s="59" t="n"/>
      <c r="I89" s="60">
        <f>IF(AND(G89&lt;&gt;"",H89&lt;&gt;""),(H89-G89)*24,"")</f>
        <v/>
      </c>
      <c r="J89" s="41" t="n"/>
      <c r="K89" s="54">
        <f>IF(C89&lt;&gt;"",C89,K88)</f>
        <v/>
      </c>
      <c r="L89" s="54">
        <f>IF(D89&lt;&gt;"",D89,L88)</f>
        <v/>
      </c>
      <c r="M89" s="54">
        <f>K89&amp;": "&amp;L89</f>
        <v/>
      </c>
    </row>
    <row r="90">
      <c r="A90" s="88" t="n"/>
      <c r="G90" s="59" t="n"/>
      <c r="H90" s="59" t="n"/>
      <c r="I90" s="60">
        <f>IF(AND(G90&lt;&gt;"",H90&lt;&gt;""),(H90-G90)*24,"")</f>
        <v/>
      </c>
      <c r="J90" s="41" t="n"/>
      <c r="K90" s="54">
        <f>IF(C90&lt;&gt;"",C90,K89)</f>
        <v/>
      </c>
      <c r="L90" s="54">
        <f>IF(D90&lt;&gt;"",D90,L89)</f>
        <v/>
      </c>
      <c r="M90" s="54">
        <f>K90&amp;": "&amp;L90</f>
        <v/>
      </c>
    </row>
    <row r="91">
      <c r="A91" s="88" t="n"/>
      <c r="G91" s="59" t="n"/>
      <c r="H91" s="59" t="n"/>
      <c r="I91" s="60">
        <f>IF(AND(G91&lt;&gt;"",H91&lt;&gt;""),(H91-G91)*24,"")</f>
        <v/>
      </c>
      <c r="J91" s="41" t="n"/>
      <c r="K91" s="54">
        <f>IF(C91&lt;&gt;"",C91,K90)</f>
        <v/>
      </c>
      <c r="L91" s="54">
        <f>IF(D91&lt;&gt;"",D91,L90)</f>
        <v/>
      </c>
      <c r="M91" s="54">
        <f>K91&amp;": "&amp;L91</f>
        <v/>
      </c>
    </row>
    <row r="92">
      <c r="A92" s="88" t="n"/>
      <c r="G92" s="59" t="n"/>
      <c r="H92" s="59" t="n"/>
      <c r="I92" s="60">
        <f>IF(AND(G92&lt;&gt;"",H92&lt;&gt;""),(H92-G92)*24,"")</f>
        <v/>
      </c>
      <c r="J92" s="41" t="n"/>
      <c r="K92" s="54">
        <f>IF(C92&lt;&gt;"",C92,K91)</f>
        <v/>
      </c>
      <c r="L92" s="54">
        <f>IF(D92&lt;&gt;"",D92,L91)</f>
        <v/>
      </c>
      <c r="M92" s="54">
        <f>K92&amp;": "&amp;L92</f>
        <v/>
      </c>
    </row>
    <row r="93">
      <c r="A93" s="88" t="n"/>
      <c r="G93" s="59" t="n"/>
      <c r="H93" s="59" t="n"/>
      <c r="I93" s="60">
        <f>IF(AND(G93&lt;&gt;"",H93&lt;&gt;""),(H93-G93)*24,"")</f>
        <v/>
      </c>
      <c r="J93" s="41" t="n"/>
      <c r="K93" s="54">
        <f>IF(C93&lt;&gt;"",C93,K92)</f>
        <v/>
      </c>
      <c r="L93" s="54">
        <f>IF(D93&lt;&gt;"",D93,L92)</f>
        <v/>
      </c>
      <c r="M93" s="54">
        <f>K93&amp;": "&amp;L93</f>
        <v/>
      </c>
    </row>
    <row r="94">
      <c r="A94" s="88" t="n"/>
      <c r="G94" s="59" t="n"/>
      <c r="H94" s="59" t="n"/>
      <c r="I94" s="60">
        <f>IF(AND(G94&lt;&gt;"",H94&lt;&gt;""),(H94-G94)*24,"")</f>
        <v/>
      </c>
      <c r="J94" s="41" t="n"/>
      <c r="K94" s="54">
        <f>IF(C94&lt;&gt;"",C94,K93)</f>
        <v/>
      </c>
      <c r="L94" s="54">
        <f>IF(D94&lt;&gt;"",D94,L93)</f>
        <v/>
      </c>
      <c r="M94" s="54">
        <f>K94&amp;": "&amp;L94</f>
        <v/>
      </c>
    </row>
    <row r="95">
      <c r="A95" s="88" t="n"/>
      <c r="G95" s="59" t="n"/>
      <c r="H95" s="59" t="n"/>
      <c r="I95" s="60">
        <f>IF(AND(G95&lt;&gt;"",H95&lt;&gt;""),(H95-G95)*24,"")</f>
        <v/>
      </c>
      <c r="J95" s="41" t="n"/>
      <c r="K95" s="54">
        <f>IF(C95&lt;&gt;"",C95,K94)</f>
        <v/>
      </c>
      <c r="L95" s="54">
        <f>IF(D95&lt;&gt;"",D95,L94)</f>
        <v/>
      </c>
      <c r="M95" s="54">
        <f>K95&amp;": "&amp;L95</f>
        <v/>
      </c>
    </row>
    <row r="96">
      <c r="A96" s="88" t="n"/>
      <c r="G96" s="59" t="n"/>
      <c r="H96" s="59" t="n"/>
      <c r="I96" s="60">
        <f>IF(AND(G96&lt;&gt;"",H96&lt;&gt;""),(H96-G96)*24,"")</f>
        <v/>
      </c>
      <c r="J96" s="41" t="n"/>
      <c r="K96" s="54">
        <f>IF(C96&lt;&gt;"",C96,K95)</f>
        <v/>
      </c>
      <c r="L96" s="54">
        <f>IF(D96&lt;&gt;"",D96,L95)</f>
        <v/>
      </c>
      <c r="M96" s="54">
        <f>K96&amp;": "&amp;L96</f>
        <v/>
      </c>
    </row>
    <row r="97">
      <c r="A97" s="88" t="n"/>
      <c r="G97" s="59" t="n"/>
      <c r="H97" s="59" t="n"/>
      <c r="I97" s="60">
        <f>IF(AND(G97&lt;&gt;"",H97&lt;&gt;""),(H97-G97)*24,"")</f>
        <v/>
      </c>
      <c r="J97" s="41" t="n"/>
      <c r="K97" s="54">
        <f>IF(C97&lt;&gt;"",C97,K96)</f>
        <v/>
      </c>
      <c r="L97" s="54">
        <f>IF(D97&lt;&gt;"",D97,L96)</f>
        <v/>
      </c>
      <c r="M97" s="54">
        <f>K97&amp;": "&amp;L97</f>
        <v/>
      </c>
    </row>
    <row r="98">
      <c r="A98" s="88" t="n"/>
      <c r="G98" s="59" t="n"/>
      <c r="H98" s="59" t="n"/>
      <c r="I98" s="60">
        <f>IF(AND(G98&lt;&gt;"",H98&lt;&gt;""),(H98-G98)*24,"")</f>
        <v/>
      </c>
      <c r="J98" s="41" t="n"/>
      <c r="K98" s="54">
        <f>IF(C98&lt;&gt;"",C98,K97)</f>
        <v/>
      </c>
      <c r="L98" s="54">
        <f>IF(D98&lt;&gt;"",D98,L97)</f>
        <v/>
      </c>
      <c r="M98" s="54">
        <f>K98&amp;": "&amp;L98</f>
        <v/>
      </c>
    </row>
    <row r="99">
      <c r="A99" s="88" t="n"/>
      <c r="G99" s="59" t="n"/>
      <c r="H99" s="59" t="n"/>
      <c r="I99" s="60">
        <f>IF(AND(G99&lt;&gt;"",H99&lt;&gt;""),(H99-G99)*24,"")</f>
        <v/>
      </c>
      <c r="J99" s="41" t="n"/>
      <c r="K99" s="54">
        <f>IF(C99&lt;&gt;"",C99,K98)</f>
        <v/>
      </c>
      <c r="L99" s="54">
        <f>IF(D99&lt;&gt;"",D99,L98)</f>
        <v/>
      </c>
      <c r="M99" s="54">
        <f>K99&amp;": "&amp;L99</f>
        <v/>
      </c>
    </row>
    <row r="100">
      <c r="A100" s="88" t="n"/>
      <c r="G100" s="59" t="n"/>
      <c r="H100" s="59" t="n"/>
      <c r="I100" s="60">
        <f>IF(AND(G100&lt;&gt;"",H100&lt;&gt;""),(H100-G100)*24,"")</f>
        <v/>
      </c>
      <c r="J100" s="41" t="n"/>
      <c r="K100" s="54">
        <f>IF(C100&lt;&gt;"",C100,K99)</f>
        <v/>
      </c>
      <c r="L100" s="54">
        <f>IF(D100&lt;&gt;"",D100,L99)</f>
        <v/>
      </c>
      <c r="M100" s="54">
        <f>K100&amp;": "&amp;L100</f>
        <v/>
      </c>
    </row>
    <row r="101">
      <c r="A101" s="88" t="n"/>
      <c r="G101" s="59" t="n"/>
      <c r="H101" s="59" t="n"/>
      <c r="I101" s="60">
        <f>IF(AND(G101&lt;&gt;"",H101&lt;&gt;""),(H101-G101)*24,"")</f>
        <v/>
      </c>
      <c r="J101" s="41" t="n"/>
      <c r="K101" s="54">
        <f>IF(C101&lt;&gt;"",C101,K100)</f>
        <v/>
      </c>
      <c r="L101" s="54">
        <f>IF(D101&lt;&gt;"",D101,L100)</f>
        <v/>
      </c>
      <c r="M101" s="54">
        <f>K101&amp;": "&amp;L101</f>
        <v/>
      </c>
    </row>
    <row r="102">
      <c r="A102" s="88" t="n"/>
      <c r="G102" s="59" t="n"/>
      <c r="H102" s="59" t="n"/>
      <c r="I102" s="60">
        <f>IF(AND(G102&lt;&gt;"",H102&lt;&gt;""),(H102-G102)*24,"")</f>
        <v/>
      </c>
      <c r="J102" s="41" t="n"/>
      <c r="K102" s="54">
        <f>IF(C102&lt;&gt;"",C102,K101)</f>
        <v/>
      </c>
      <c r="L102" s="54">
        <f>IF(D102&lt;&gt;"",D102,L101)</f>
        <v/>
      </c>
      <c r="M102" s="54">
        <f>K102&amp;": "&amp;L102</f>
        <v/>
      </c>
    </row>
    <row r="103">
      <c r="A103" s="88" t="n"/>
      <c r="G103" s="59" t="n"/>
      <c r="H103" s="59" t="n"/>
      <c r="I103" s="60">
        <f>IF(AND(G103&lt;&gt;"",H103&lt;&gt;""),(H103-G103)*24,"")</f>
        <v/>
      </c>
      <c r="J103" s="41" t="n"/>
      <c r="K103" s="54">
        <f>IF(C103&lt;&gt;"",C103,K102)</f>
        <v/>
      </c>
      <c r="L103" s="54">
        <f>IF(D103&lt;&gt;"",D103,L102)</f>
        <v/>
      </c>
      <c r="M103" s="54">
        <f>K103&amp;": "&amp;L103</f>
        <v/>
      </c>
    </row>
    <row r="104">
      <c r="A104" s="88" t="n"/>
      <c r="G104" s="59" t="n"/>
      <c r="H104" s="59" t="n"/>
      <c r="I104" s="60">
        <f>IF(AND(G104&lt;&gt;"",H104&lt;&gt;""),(H104-G104)*24,"")</f>
        <v/>
      </c>
      <c r="J104" s="41" t="n"/>
      <c r="K104" s="54">
        <f>IF(C104&lt;&gt;"",C104,K103)</f>
        <v/>
      </c>
      <c r="L104" s="54">
        <f>IF(D104&lt;&gt;"",D104,L103)</f>
        <v/>
      </c>
      <c r="M104" s="54">
        <f>K104&amp;": "&amp;L104</f>
        <v/>
      </c>
    </row>
    <row r="105">
      <c r="A105" s="88" t="n"/>
      <c r="G105" s="59" t="n"/>
      <c r="H105" s="59" t="n"/>
      <c r="I105" s="60">
        <f>IF(AND(G105&lt;&gt;"",H105&lt;&gt;""),(H105-G105)*24,"")</f>
        <v/>
      </c>
      <c r="J105" s="41" t="n"/>
      <c r="K105" s="54">
        <f>IF(C105&lt;&gt;"",C105,K104)</f>
        <v/>
      </c>
      <c r="L105" s="54">
        <f>IF(D105&lt;&gt;"",D105,L104)</f>
        <v/>
      </c>
      <c r="M105" s="54">
        <f>K105&amp;": "&amp;L105</f>
        <v/>
      </c>
    </row>
    <row r="106">
      <c r="A106" s="88" t="n"/>
      <c r="G106" s="59" t="n"/>
      <c r="H106" s="59" t="n"/>
      <c r="I106" s="60">
        <f>IF(AND(G106&lt;&gt;"",H106&lt;&gt;""),(H106-G106)*24,"")</f>
        <v/>
      </c>
      <c r="J106" s="41" t="n"/>
      <c r="K106" s="54">
        <f>IF(C106&lt;&gt;"",C106,K105)</f>
        <v/>
      </c>
      <c r="L106" s="54">
        <f>IF(D106&lt;&gt;"",D106,L105)</f>
        <v/>
      </c>
      <c r="M106" s="54">
        <f>K106&amp;": "&amp;L106</f>
        <v/>
      </c>
    </row>
    <row r="107">
      <c r="A107" s="88" t="n"/>
      <c r="G107" s="59" t="n"/>
      <c r="H107" s="59" t="n"/>
      <c r="I107" s="60">
        <f>IF(AND(G107&lt;&gt;"",H107&lt;&gt;""),(H107-G107)*24,"")</f>
        <v/>
      </c>
      <c r="J107" s="41" t="n"/>
      <c r="K107" s="54">
        <f>IF(C107&lt;&gt;"",C107,K106)</f>
        <v/>
      </c>
      <c r="L107" s="54">
        <f>IF(D107&lt;&gt;"",D107,L106)</f>
        <v/>
      </c>
      <c r="M107" s="54">
        <f>K107&amp;": "&amp;L107</f>
        <v/>
      </c>
    </row>
    <row r="108">
      <c r="A108" s="88" t="n"/>
      <c r="G108" s="59" t="n"/>
      <c r="H108" s="59" t="n"/>
      <c r="I108" s="60">
        <f>IF(AND(G108&lt;&gt;"",H108&lt;&gt;""),(H108-G108)*24,"")</f>
        <v/>
      </c>
      <c r="J108" s="41" t="n"/>
      <c r="K108" s="54">
        <f>IF(C108&lt;&gt;"",C108,K107)</f>
        <v/>
      </c>
      <c r="L108" s="54">
        <f>IF(D108&lt;&gt;"",D108,L107)</f>
        <v/>
      </c>
      <c r="M108" s="54">
        <f>K108&amp;": "&amp;L108</f>
        <v/>
      </c>
    </row>
    <row r="109">
      <c r="A109" s="88" t="n"/>
      <c r="G109" s="59" t="n"/>
      <c r="H109" s="59" t="n"/>
      <c r="I109" s="60">
        <f>IF(AND(G109&lt;&gt;"",H109&lt;&gt;""),(H109-G109)*24,"")</f>
        <v/>
      </c>
      <c r="J109" s="41" t="n"/>
      <c r="K109" s="54">
        <f>IF(C109&lt;&gt;"",C109,K108)</f>
        <v/>
      </c>
      <c r="L109" s="54">
        <f>IF(D109&lt;&gt;"",D109,L108)</f>
        <v/>
      </c>
      <c r="M109" s="54">
        <f>K109&amp;": "&amp;L109</f>
        <v/>
      </c>
    </row>
    <row r="110">
      <c r="A110" s="88" t="n"/>
      <c r="G110" s="59" t="n"/>
      <c r="H110" s="59" t="n"/>
      <c r="I110" s="60">
        <f>IF(AND(G110&lt;&gt;"",H110&lt;&gt;""),(H110-G110)*24,"")</f>
        <v/>
      </c>
      <c r="J110" s="41" t="n"/>
      <c r="K110" s="54">
        <f>IF(C110&lt;&gt;"",C110,K109)</f>
        <v/>
      </c>
      <c r="L110" s="54">
        <f>IF(D110&lt;&gt;"",D110,L109)</f>
        <v/>
      </c>
      <c r="M110" s="54">
        <f>K110&amp;": "&amp;L110</f>
        <v/>
      </c>
    </row>
    <row r="111">
      <c r="A111" s="88" t="n"/>
      <c r="G111" s="59" t="n"/>
      <c r="H111" s="59" t="n"/>
      <c r="I111" s="60">
        <f>IF(AND(G111&lt;&gt;"",H111&lt;&gt;""),(H111-G111)*24,"")</f>
        <v/>
      </c>
      <c r="J111" s="41" t="n"/>
      <c r="K111" s="54">
        <f>IF(C111&lt;&gt;"",C111,K110)</f>
        <v/>
      </c>
      <c r="L111" s="54">
        <f>IF(D111&lt;&gt;"",D111,L110)</f>
        <v/>
      </c>
      <c r="M111" s="54">
        <f>K111&amp;": "&amp;L111</f>
        <v/>
      </c>
    </row>
    <row r="112">
      <c r="A112" s="88" t="n"/>
      <c r="G112" s="59" t="n"/>
      <c r="H112" s="59" t="n"/>
      <c r="I112" s="60">
        <f>IF(AND(G112&lt;&gt;"",H112&lt;&gt;""),(H112-G112)*24,"")</f>
        <v/>
      </c>
      <c r="J112" s="41" t="n"/>
      <c r="K112" s="54">
        <f>IF(C112&lt;&gt;"",C112,K111)</f>
        <v/>
      </c>
      <c r="L112" s="54">
        <f>IF(D112&lt;&gt;"",D112,L111)</f>
        <v/>
      </c>
      <c r="M112" s="54">
        <f>K112&amp;": "&amp;L112</f>
        <v/>
      </c>
    </row>
    <row r="113">
      <c r="A113" s="88" t="n"/>
      <c r="G113" s="59" t="n"/>
      <c r="H113" s="59" t="n"/>
      <c r="I113" s="60">
        <f>IF(AND(G113&lt;&gt;"",H113&lt;&gt;""),(H113-G113)*24,"")</f>
        <v/>
      </c>
      <c r="J113" s="41" t="n"/>
      <c r="K113" s="54">
        <f>IF(C113&lt;&gt;"",C113,K112)</f>
        <v/>
      </c>
      <c r="L113" s="54">
        <f>IF(D113&lt;&gt;"",D113,L112)</f>
        <v/>
      </c>
      <c r="M113" s="54">
        <f>K113&amp;": "&amp;L113</f>
        <v/>
      </c>
    </row>
    <row r="114">
      <c r="A114" s="88" t="n"/>
      <c r="G114" s="59" t="n"/>
      <c r="H114" s="59" t="n"/>
      <c r="I114" s="60">
        <f>IF(AND(G114&lt;&gt;"",H114&lt;&gt;""),(H114-G114)*24,"")</f>
        <v/>
      </c>
      <c r="J114" s="41" t="n"/>
      <c r="K114" s="54">
        <f>IF(C114&lt;&gt;"",C114,K113)</f>
        <v/>
      </c>
      <c r="L114" s="54">
        <f>IF(D114&lt;&gt;"",D114,L113)</f>
        <v/>
      </c>
      <c r="M114" s="54">
        <f>K114&amp;": "&amp;L114</f>
        <v/>
      </c>
    </row>
    <row r="115">
      <c r="A115" s="88" t="n"/>
      <c r="G115" s="59" t="n"/>
      <c r="H115" s="59" t="n"/>
      <c r="I115" s="60">
        <f>IF(AND(G115&lt;&gt;"",H115&lt;&gt;""),(H115-G115)*24,"")</f>
        <v/>
      </c>
      <c r="J115" s="41" t="n"/>
      <c r="K115" s="54">
        <f>IF(C115&lt;&gt;"",C115,K114)</f>
        <v/>
      </c>
      <c r="L115" s="54">
        <f>IF(D115&lt;&gt;"",D115,L114)</f>
        <v/>
      </c>
      <c r="M115" s="54">
        <f>K115&amp;": "&amp;L115</f>
        <v/>
      </c>
    </row>
    <row r="116">
      <c r="A116" s="88" t="n"/>
      <c r="G116" s="59" t="n"/>
      <c r="H116" s="59" t="n"/>
      <c r="I116" s="60">
        <f>IF(AND(G116&lt;&gt;"",H116&lt;&gt;""),(H116-G116)*24,"")</f>
        <v/>
      </c>
      <c r="J116" s="41" t="n"/>
      <c r="K116" s="54">
        <f>IF(C116&lt;&gt;"",C116,K115)</f>
        <v/>
      </c>
      <c r="L116" s="54">
        <f>IF(D116&lt;&gt;"",D116,L115)</f>
        <v/>
      </c>
      <c r="M116" s="54">
        <f>K116&amp;": "&amp;L116</f>
        <v/>
      </c>
    </row>
    <row r="117">
      <c r="A117" s="88" t="n"/>
      <c r="G117" s="59" t="n"/>
      <c r="H117" s="59" t="n"/>
      <c r="I117" s="60">
        <f>IF(AND(G117&lt;&gt;"",H117&lt;&gt;""),(H117-G117)*24,"")</f>
        <v/>
      </c>
      <c r="J117" s="41" t="n"/>
      <c r="K117" s="54">
        <f>IF(C117&lt;&gt;"",C117,K116)</f>
        <v/>
      </c>
      <c r="L117" s="54">
        <f>IF(D117&lt;&gt;"",D117,L116)</f>
        <v/>
      </c>
      <c r="M117" s="54">
        <f>K117&amp;": "&amp;L117</f>
        <v/>
      </c>
    </row>
    <row r="118">
      <c r="A118" s="88" t="n"/>
      <c r="G118" s="59" t="n"/>
      <c r="H118" s="59" t="n"/>
      <c r="I118" s="60">
        <f>IF(AND(G118&lt;&gt;"",H118&lt;&gt;""),(H118-G118)*24,"")</f>
        <v/>
      </c>
      <c r="J118" s="41" t="n"/>
      <c r="K118" s="54">
        <f>IF(C118&lt;&gt;"",C118,K117)</f>
        <v/>
      </c>
      <c r="L118" s="54">
        <f>IF(D118&lt;&gt;"",D118,L117)</f>
        <v/>
      </c>
      <c r="M118" s="54">
        <f>K118&amp;": "&amp;L118</f>
        <v/>
      </c>
    </row>
    <row r="119">
      <c r="A119" s="88" t="n"/>
      <c r="G119" s="59" t="n"/>
      <c r="H119" s="59" t="n"/>
      <c r="I119" s="60">
        <f>IF(AND(G119&lt;&gt;"",H119&lt;&gt;""),(H119-G119)*24,"")</f>
        <v/>
      </c>
      <c r="J119" s="41" t="n"/>
      <c r="K119" s="54">
        <f>IF(C119&lt;&gt;"",C119,K118)</f>
        <v/>
      </c>
      <c r="L119" s="54">
        <f>IF(D119&lt;&gt;"",D119,L118)</f>
        <v/>
      </c>
      <c r="M119" s="54">
        <f>K119&amp;": "&amp;L119</f>
        <v/>
      </c>
    </row>
    <row r="120">
      <c r="A120" s="88" t="n"/>
      <c r="G120" s="59" t="n"/>
      <c r="H120" s="59" t="n"/>
      <c r="I120" s="60">
        <f>IF(AND(G120&lt;&gt;"",H120&lt;&gt;""),(H120-G120)*24,"")</f>
        <v/>
      </c>
      <c r="J120" s="41" t="n"/>
      <c r="K120" s="54">
        <f>IF(C120&lt;&gt;"",C120,K119)</f>
        <v/>
      </c>
      <c r="L120" s="54">
        <f>IF(D120&lt;&gt;"",D120,L119)</f>
        <v/>
      </c>
      <c r="M120" s="54">
        <f>K120&amp;": "&amp;L120</f>
        <v/>
      </c>
    </row>
    <row r="121">
      <c r="A121" s="88" t="n"/>
      <c r="G121" s="59" t="n"/>
      <c r="H121" s="59" t="n"/>
      <c r="I121" s="60">
        <f>IF(AND(G121&lt;&gt;"",H121&lt;&gt;""),(H121-G121)*24,"")</f>
        <v/>
      </c>
      <c r="J121" s="41" t="n"/>
      <c r="K121" s="54">
        <f>IF(C121&lt;&gt;"",C121,K120)</f>
        <v/>
      </c>
      <c r="L121" s="54">
        <f>IF(D121&lt;&gt;"",D121,L120)</f>
        <v/>
      </c>
      <c r="M121" s="54">
        <f>K121&amp;": "&amp;L121</f>
        <v/>
      </c>
    </row>
    <row r="122">
      <c r="A122" s="88" t="n"/>
      <c r="G122" s="59" t="n"/>
      <c r="H122" s="59" t="n"/>
      <c r="I122" s="60">
        <f>IF(AND(G122&lt;&gt;"",H122&lt;&gt;""),(H122-G122)*24,"")</f>
        <v/>
      </c>
      <c r="J122" s="41" t="n"/>
      <c r="K122" s="54">
        <f>IF(C122&lt;&gt;"",C122,K121)</f>
        <v/>
      </c>
      <c r="L122" s="54">
        <f>IF(D122&lt;&gt;"",D122,L121)</f>
        <v/>
      </c>
      <c r="M122" s="54">
        <f>K122&amp;": "&amp;L122</f>
        <v/>
      </c>
    </row>
    <row r="123">
      <c r="A123" s="88" t="n"/>
      <c r="G123" s="59" t="n"/>
      <c r="H123" s="59" t="n"/>
      <c r="I123" s="60">
        <f>IF(AND(G123&lt;&gt;"",H123&lt;&gt;""),(H123-G123)*24,"")</f>
        <v/>
      </c>
      <c r="J123" s="41" t="n"/>
      <c r="K123" s="54">
        <f>IF(C123&lt;&gt;"",C123,K122)</f>
        <v/>
      </c>
      <c r="L123" s="54">
        <f>IF(D123&lt;&gt;"",D123,L122)</f>
        <v/>
      </c>
      <c r="M123" s="54">
        <f>K123&amp;": "&amp;L123</f>
        <v/>
      </c>
    </row>
    <row r="124">
      <c r="A124" s="88" t="n"/>
      <c r="G124" s="59" t="n"/>
      <c r="H124" s="59" t="n"/>
      <c r="I124" s="60">
        <f>IF(AND(G124&lt;&gt;"",H124&lt;&gt;""),(H124-G124)*24,"")</f>
        <v/>
      </c>
      <c r="J124" s="41" t="n"/>
      <c r="K124" s="54">
        <f>IF(C124&lt;&gt;"",C124,K123)</f>
        <v/>
      </c>
      <c r="L124" s="54">
        <f>IF(D124&lt;&gt;"",D124,L123)</f>
        <v/>
      </c>
      <c r="M124" s="54">
        <f>K124&amp;": "&amp;L124</f>
        <v/>
      </c>
    </row>
    <row r="125">
      <c r="A125" s="88" t="n"/>
      <c r="G125" s="59" t="n"/>
      <c r="H125" s="59" t="n"/>
      <c r="I125" s="60">
        <f>IF(AND(G125&lt;&gt;"",H125&lt;&gt;""),(H125-G125)*24,"")</f>
        <v/>
      </c>
      <c r="J125" s="41" t="n"/>
      <c r="K125" s="54">
        <f>IF(C125&lt;&gt;"",C125,K124)</f>
        <v/>
      </c>
      <c r="L125" s="54">
        <f>IF(D125&lt;&gt;"",D125,L124)</f>
        <v/>
      </c>
      <c r="M125" s="54">
        <f>K125&amp;": "&amp;L125</f>
        <v/>
      </c>
    </row>
    <row r="126">
      <c r="A126" s="88" t="n"/>
      <c r="G126" s="59" t="n"/>
      <c r="H126" s="59" t="n"/>
      <c r="I126" s="60">
        <f>IF(AND(G126&lt;&gt;"",H126&lt;&gt;""),(H126-G126)*24,"")</f>
        <v/>
      </c>
      <c r="J126" s="41" t="n"/>
      <c r="K126" s="54">
        <f>IF(C126&lt;&gt;"",C126,K125)</f>
        <v/>
      </c>
      <c r="L126" s="54">
        <f>IF(D126&lt;&gt;"",D126,L125)</f>
        <v/>
      </c>
      <c r="M126" s="54">
        <f>K126&amp;": "&amp;L126</f>
        <v/>
      </c>
    </row>
    <row r="127">
      <c r="A127" s="88" t="n"/>
      <c r="G127" s="59" t="n"/>
      <c r="H127" s="59" t="n"/>
      <c r="I127" s="60">
        <f>IF(AND(G127&lt;&gt;"",H127&lt;&gt;""),(H127-G127)*24,"")</f>
        <v/>
      </c>
      <c r="J127" s="41" t="n"/>
      <c r="K127" s="54">
        <f>IF(C127&lt;&gt;"",C127,K126)</f>
        <v/>
      </c>
      <c r="L127" s="54">
        <f>IF(D127&lt;&gt;"",D127,L126)</f>
        <v/>
      </c>
      <c r="M127" s="54">
        <f>K127&amp;": "&amp;L127</f>
        <v/>
      </c>
    </row>
    <row r="128">
      <c r="A128" s="88" t="n"/>
      <c r="G128" s="59" t="n"/>
      <c r="H128" s="59" t="n"/>
      <c r="I128" s="60">
        <f>IF(AND(G128&lt;&gt;"",H128&lt;&gt;""),(H128-G128)*24,"")</f>
        <v/>
      </c>
      <c r="J128" s="41" t="n"/>
      <c r="K128" s="54">
        <f>IF(C128&lt;&gt;"",C128,K127)</f>
        <v/>
      </c>
      <c r="L128" s="54">
        <f>IF(D128&lt;&gt;"",D128,L127)</f>
        <v/>
      </c>
      <c r="M128" s="54">
        <f>K128&amp;": "&amp;L128</f>
        <v/>
      </c>
    </row>
    <row r="129">
      <c r="A129" s="88" t="n"/>
      <c r="G129" s="59" t="n"/>
      <c r="H129" s="59" t="n"/>
      <c r="I129" s="60">
        <f>IF(AND(G129&lt;&gt;"",H129&lt;&gt;""),(H129-G129)*24,"")</f>
        <v/>
      </c>
      <c r="J129" s="41" t="n"/>
      <c r="K129" s="54">
        <f>IF(C129&lt;&gt;"",C129,K128)</f>
        <v/>
      </c>
      <c r="L129" s="54">
        <f>IF(D129&lt;&gt;"",D129,L128)</f>
        <v/>
      </c>
      <c r="M129" s="54">
        <f>K129&amp;": "&amp;L129</f>
        <v/>
      </c>
    </row>
    <row r="130">
      <c r="A130" s="88" t="n"/>
      <c r="G130" s="59" t="n"/>
      <c r="H130" s="59" t="n"/>
      <c r="I130" s="60">
        <f>IF(AND(G130&lt;&gt;"",H130&lt;&gt;""),(H130-G130)*24,"")</f>
        <v/>
      </c>
      <c r="J130" s="41" t="n"/>
      <c r="K130" s="54">
        <f>IF(C130&lt;&gt;"",C130,K129)</f>
        <v/>
      </c>
      <c r="L130" s="54">
        <f>IF(D130&lt;&gt;"",D130,L129)</f>
        <v/>
      </c>
      <c r="M130" s="54">
        <f>K130&amp;": "&amp;L130</f>
        <v/>
      </c>
    </row>
    <row r="131">
      <c r="A131" s="88" t="n"/>
      <c r="G131" s="59" t="n"/>
      <c r="H131" s="59" t="n"/>
      <c r="I131" s="60">
        <f>IF(AND(G131&lt;&gt;"",H131&lt;&gt;""),(H131-G131)*24,"")</f>
        <v/>
      </c>
      <c r="J131" s="41" t="n"/>
      <c r="K131" s="54">
        <f>IF(C131&lt;&gt;"",C131,K130)</f>
        <v/>
      </c>
      <c r="L131" s="54">
        <f>IF(D131&lt;&gt;"",D131,L130)</f>
        <v/>
      </c>
      <c r="M131" s="54">
        <f>K131&amp;": "&amp;L131</f>
        <v/>
      </c>
    </row>
    <row r="132">
      <c r="A132" s="88" t="n"/>
      <c r="G132" s="59" t="n"/>
      <c r="H132" s="59" t="n"/>
      <c r="I132" s="60">
        <f>IF(AND(G132&lt;&gt;"",H132&lt;&gt;""),(H132-G132)*24,"")</f>
        <v/>
      </c>
      <c r="J132" s="41" t="n"/>
      <c r="K132" s="54">
        <f>IF(C132&lt;&gt;"",C132,K131)</f>
        <v/>
      </c>
      <c r="L132" s="54">
        <f>IF(D132&lt;&gt;"",D132,L131)</f>
        <v/>
      </c>
      <c r="M132" s="54">
        <f>K132&amp;": "&amp;L132</f>
        <v/>
      </c>
    </row>
    <row r="133">
      <c r="A133" s="88" t="n"/>
      <c r="G133" s="59" t="n"/>
      <c r="H133" s="59" t="n"/>
      <c r="I133" s="60">
        <f>IF(AND(G133&lt;&gt;"",H133&lt;&gt;""),(H133-G133)*24,"")</f>
        <v/>
      </c>
      <c r="J133" s="41" t="n"/>
      <c r="K133" s="54">
        <f>IF(C133&lt;&gt;"",C133,K132)</f>
        <v/>
      </c>
      <c r="L133" s="54">
        <f>IF(D133&lt;&gt;"",D133,L132)</f>
        <v/>
      </c>
      <c r="M133" s="54">
        <f>K133&amp;": "&amp;L133</f>
        <v/>
      </c>
    </row>
    <row r="134">
      <c r="A134" s="88" t="n"/>
      <c r="G134" s="59" t="n"/>
      <c r="H134" s="59" t="n"/>
      <c r="I134" s="60">
        <f>IF(AND(G134&lt;&gt;"",H134&lt;&gt;""),(H134-G134)*24,"")</f>
        <v/>
      </c>
      <c r="J134" s="41" t="n"/>
      <c r="K134" s="54">
        <f>IF(C134&lt;&gt;"",C134,K133)</f>
        <v/>
      </c>
      <c r="L134" s="54">
        <f>IF(D134&lt;&gt;"",D134,L133)</f>
        <v/>
      </c>
      <c r="M134" s="54">
        <f>K134&amp;": "&amp;L134</f>
        <v/>
      </c>
    </row>
    <row r="135">
      <c r="A135" s="88" t="n"/>
      <c r="G135" s="59" t="n"/>
      <c r="H135" s="59" t="n"/>
      <c r="I135" s="60">
        <f>IF(AND(G135&lt;&gt;"",H135&lt;&gt;""),(H135-G135)*24,"")</f>
        <v/>
      </c>
      <c r="J135" s="41" t="n"/>
      <c r="K135" s="54">
        <f>IF(C135&lt;&gt;"",C135,K134)</f>
        <v/>
      </c>
      <c r="L135" s="54">
        <f>IF(D135&lt;&gt;"",D135,L134)</f>
        <v/>
      </c>
      <c r="M135" s="54">
        <f>K135&amp;": "&amp;L135</f>
        <v/>
      </c>
    </row>
    <row r="136">
      <c r="A136" s="88" t="n"/>
      <c r="G136" s="59" t="n"/>
      <c r="H136" s="59" t="n"/>
      <c r="I136" s="60">
        <f>IF(AND(G136&lt;&gt;"",H136&lt;&gt;""),(H136-G136)*24,"")</f>
        <v/>
      </c>
      <c r="J136" s="41" t="n"/>
      <c r="K136" s="54">
        <f>IF(C136&lt;&gt;"",C136,K135)</f>
        <v/>
      </c>
      <c r="L136" s="54">
        <f>IF(D136&lt;&gt;"",D136,L135)</f>
        <v/>
      </c>
      <c r="M136" s="54">
        <f>K136&amp;": "&amp;L136</f>
        <v/>
      </c>
    </row>
    <row r="137">
      <c r="A137" s="88" t="n"/>
      <c r="G137" s="59" t="n"/>
      <c r="H137" s="59" t="n"/>
      <c r="I137" s="60">
        <f>IF(AND(G137&lt;&gt;"",H137&lt;&gt;""),(H137-G137)*24,"")</f>
        <v/>
      </c>
      <c r="J137" s="41" t="n"/>
      <c r="K137" s="54">
        <f>IF(C137&lt;&gt;"",C137,K136)</f>
        <v/>
      </c>
      <c r="L137" s="54">
        <f>IF(D137&lt;&gt;"",D137,L136)</f>
        <v/>
      </c>
      <c r="M137" s="54">
        <f>K137&amp;": "&amp;L137</f>
        <v/>
      </c>
    </row>
    <row r="138">
      <c r="A138" s="88" t="n"/>
      <c r="G138" s="59" t="n"/>
      <c r="H138" s="59" t="n"/>
      <c r="I138" s="60">
        <f>IF(AND(G138&lt;&gt;"",H138&lt;&gt;""),(H138-G138)*24,"")</f>
        <v/>
      </c>
      <c r="J138" s="41" t="n"/>
      <c r="K138" s="54">
        <f>IF(C138&lt;&gt;"",C138,K137)</f>
        <v/>
      </c>
      <c r="L138" s="54">
        <f>IF(D138&lt;&gt;"",D138,L137)</f>
        <v/>
      </c>
      <c r="M138" s="54">
        <f>K138&amp;": "&amp;L138</f>
        <v/>
      </c>
    </row>
    <row r="139">
      <c r="A139" s="88" t="n"/>
      <c r="G139" s="59" t="n"/>
      <c r="H139" s="59" t="n"/>
      <c r="I139" s="60">
        <f>IF(AND(G139&lt;&gt;"",H139&lt;&gt;""),(H139-G139)*24,"")</f>
        <v/>
      </c>
      <c r="J139" s="41" t="n"/>
      <c r="K139" s="54">
        <f>IF(C139&lt;&gt;"",C139,K138)</f>
        <v/>
      </c>
      <c r="L139" s="54">
        <f>IF(D139&lt;&gt;"",D139,L138)</f>
        <v/>
      </c>
      <c r="M139" s="54">
        <f>K139&amp;": "&amp;L139</f>
        <v/>
      </c>
    </row>
    <row r="140">
      <c r="A140" s="88" t="n"/>
      <c r="G140" s="59" t="n"/>
      <c r="H140" s="59" t="n"/>
      <c r="I140" s="60">
        <f>IF(AND(G140&lt;&gt;"",H140&lt;&gt;""),(H140-G140)*24,"")</f>
        <v/>
      </c>
      <c r="J140" s="41" t="n"/>
      <c r="K140" s="54">
        <f>IF(C140&lt;&gt;"",C140,K139)</f>
        <v/>
      </c>
      <c r="L140" s="54">
        <f>IF(D140&lt;&gt;"",D140,L139)</f>
        <v/>
      </c>
      <c r="M140" s="54">
        <f>K140&amp;": "&amp;L140</f>
        <v/>
      </c>
    </row>
    <row r="141">
      <c r="A141" s="88" t="n"/>
      <c r="G141" s="59" t="n"/>
      <c r="H141" s="59" t="n"/>
      <c r="I141" s="60">
        <f>IF(AND(G141&lt;&gt;"",H141&lt;&gt;""),(H141-G141)*24,"")</f>
        <v/>
      </c>
      <c r="J141" s="41" t="n"/>
      <c r="K141" s="54">
        <f>IF(C141&lt;&gt;"",C141,K140)</f>
        <v/>
      </c>
      <c r="L141" s="54">
        <f>IF(D141&lt;&gt;"",D141,L140)</f>
        <v/>
      </c>
      <c r="M141" s="54">
        <f>K141&amp;": "&amp;L141</f>
        <v/>
      </c>
    </row>
    <row r="142">
      <c r="A142" s="88" t="n"/>
      <c r="G142" s="59" t="n"/>
      <c r="H142" s="59" t="n"/>
      <c r="I142" s="60">
        <f>IF(AND(G142&lt;&gt;"",H142&lt;&gt;""),(H142-G142)*24,"")</f>
        <v/>
      </c>
      <c r="J142" s="41" t="n"/>
      <c r="K142" s="54">
        <f>IF(C142&lt;&gt;"",C142,K141)</f>
        <v/>
      </c>
      <c r="L142" s="54">
        <f>IF(D142&lt;&gt;"",D142,L141)</f>
        <v/>
      </c>
      <c r="M142" s="54">
        <f>K142&amp;": "&amp;L142</f>
        <v/>
      </c>
    </row>
    <row r="143">
      <c r="A143" s="88" t="n"/>
      <c r="G143" s="59" t="n"/>
      <c r="H143" s="59" t="n"/>
      <c r="I143" s="60">
        <f>IF(AND(G143&lt;&gt;"",H143&lt;&gt;""),(H143-G143)*24,"")</f>
        <v/>
      </c>
      <c r="J143" s="41" t="n"/>
      <c r="K143" s="54">
        <f>IF(C143&lt;&gt;"",C143,K142)</f>
        <v/>
      </c>
      <c r="L143" s="54">
        <f>IF(D143&lt;&gt;"",D143,L142)</f>
        <v/>
      </c>
      <c r="M143" s="54">
        <f>K143&amp;": "&amp;L143</f>
        <v/>
      </c>
    </row>
    <row r="144">
      <c r="A144" s="88" t="n"/>
      <c r="G144" s="59" t="n"/>
      <c r="H144" s="59" t="n"/>
      <c r="I144" s="60">
        <f>IF(AND(G144&lt;&gt;"",H144&lt;&gt;""),(H144-G144)*24,"")</f>
        <v/>
      </c>
      <c r="J144" s="41" t="n"/>
      <c r="K144" s="54">
        <f>IF(C144&lt;&gt;"",C144,K143)</f>
        <v/>
      </c>
      <c r="L144" s="54">
        <f>IF(D144&lt;&gt;"",D144,L143)</f>
        <v/>
      </c>
      <c r="M144" s="54">
        <f>K144&amp;": "&amp;L144</f>
        <v/>
      </c>
    </row>
    <row r="145">
      <c r="A145" s="88" t="n"/>
      <c r="G145" s="59" t="n"/>
      <c r="H145" s="59" t="n"/>
      <c r="I145" s="60">
        <f>IF(AND(G145&lt;&gt;"",H145&lt;&gt;""),(H145-G145)*24,"")</f>
        <v/>
      </c>
      <c r="J145" s="41" t="n"/>
      <c r="K145" s="54">
        <f>IF(C145&lt;&gt;"",C145,K144)</f>
        <v/>
      </c>
      <c r="L145" s="54">
        <f>IF(D145&lt;&gt;"",D145,L144)</f>
        <v/>
      </c>
      <c r="M145" s="54">
        <f>K145&amp;": "&amp;L145</f>
        <v/>
      </c>
    </row>
    <row r="146">
      <c r="A146" s="88" t="n"/>
      <c r="G146" s="59" t="n"/>
      <c r="H146" s="59" t="n"/>
      <c r="I146" s="60">
        <f>IF(AND(G146&lt;&gt;"",H146&lt;&gt;""),(H146-G146)*24,"")</f>
        <v/>
      </c>
      <c r="J146" s="41" t="n"/>
      <c r="K146" s="54">
        <f>IF(C146&lt;&gt;"",C146,K145)</f>
        <v/>
      </c>
      <c r="L146" s="54">
        <f>IF(D146&lt;&gt;"",D146,L145)</f>
        <v/>
      </c>
      <c r="M146" s="54">
        <f>K146&amp;": "&amp;L146</f>
        <v/>
      </c>
    </row>
    <row r="147">
      <c r="A147" s="88" t="n"/>
      <c r="G147" s="59" t="n"/>
      <c r="H147" s="59" t="n"/>
      <c r="I147" s="60">
        <f>IF(AND(G147&lt;&gt;"",H147&lt;&gt;""),(H147-G147)*24,"")</f>
        <v/>
      </c>
      <c r="J147" s="41" t="n"/>
      <c r="K147" s="54">
        <f>IF(C147&lt;&gt;"",C147,K146)</f>
        <v/>
      </c>
      <c r="L147" s="54">
        <f>IF(D147&lt;&gt;"",D147,L146)</f>
        <v/>
      </c>
      <c r="M147" s="54">
        <f>K147&amp;": "&amp;L147</f>
        <v/>
      </c>
    </row>
    <row r="148">
      <c r="A148" s="88" t="n"/>
      <c r="G148" s="59" t="n"/>
      <c r="H148" s="59" t="n"/>
      <c r="I148" s="60">
        <f>IF(AND(G148&lt;&gt;"",H148&lt;&gt;""),(H148-G148)*24,"")</f>
        <v/>
      </c>
      <c r="J148" s="41" t="n"/>
      <c r="K148" s="54">
        <f>IF(C148&lt;&gt;"",C148,K147)</f>
        <v/>
      </c>
      <c r="L148" s="54">
        <f>IF(D148&lt;&gt;"",D148,L147)</f>
        <v/>
      </c>
      <c r="M148" s="54">
        <f>K148&amp;": "&amp;L148</f>
        <v/>
      </c>
    </row>
    <row r="149">
      <c r="A149" s="88" t="n"/>
      <c r="G149" s="59" t="n"/>
      <c r="H149" s="59" t="n"/>
      <c r="I149" s="60">
        <f>IF(AND(G149&lt;&gt;"",H149&lt;&gt;""),(H149-G149)*24,"")</f>
        <v/>
      </c>
      <c r="J149" s="41" t="n"/>
      <c r="K149" s="54">
        <f>IF(C149&lt;&gt;"",C149,K148)</f>
        <v/>
      </c>
      <c r="L149" s="54">
        <f>IF(D149&lt;&gt;"",D149,L148)</f>
        <v/>
      </c>
      <c r="M149" s="54">
        <f>K149&amp;": "&amp;L149</f>
        <v/>
      </c>
    </row>
    <row r="150">
      <c r="A150" s="88" t="n"/>
      <c r="G150" s="59" t="n"/>
      <c r="H150" s="59" t="n"/>
      <c r="I150" s="60">
        <f>IF(AND(G150&lt;&gt;"",H150&lt;&gt;""),(H150-G150)*24,"")</f>
        <v/>
      </c>
      <c r="J150" s="41" t="n"/>
      <c r="K150" s="54">
        <f>IF(C150&lt;&gt;"",C150,K149)</f>
        <v/>
      </c>
      <c r="L150" s="54">
        <f>IF(D150&lt;&gt;"",D150,L149)</f>
        <v/>
      </c>
      <c r="M150" s="54">
        <f>K150&amp;": "&amp;L150</f>
        <v/>
      </c>
    </row>
    <row r="151">
      <c r="A151" s="88" t="n"/>
      <c r="G151" s="59" t="n"/>
      <c r="H151" s="59" t="n"/>
      <c r="I151" s="60">
        <f>IF(AND(G151&lt;&gt;"",H151&lt;&gt;""),(H151-G151)*24,"")</f>
        <v/>
      </c>
      <c r="J151" s="41" t="n"/>
      <c r="K151" s="54">
        <f>IF(C151&lt;&gt;"",C151,K150)</f>
        <v/>
      </c>
      <c r="L151" s="54">
        <f>IF(D151&lt;&gt;"",D151,L150)</f>
        <v/>
      </c>
      <c r="M151" s="54">
        <f>K151&amp;": "&amp;L151</f>
        <v/>
      </c>
    </row>
    <row r="152">
      <c r="A152" s="88" t="n"/>
      <c r="G152" s="59" t="n"/>
      <c r="H152" s="59" t="n"/>
      <c r="I152" s="60">
        <f>IF(AND(G152&lt;&gt;"",H152&lt;&gt;""),(H152-G152)*24,"")</f>
        <v/>
      </c>
      <c r="J152" s="41" t="n"/>
      <c r="K152" s="54">
        <f>IF(C152&lt;&gt;"",C152,K151)</f>
        <v/>
      </c>
      <c r="L152" s="54">
        <f>IF(D152&lt;&gt;"",D152,L151)</f>
        <v/>
      </c>
      <c r="M152" s="54">
        <f>K152&amp;": "&amp;L152</f>
        <v/>
      </c>
    </row>
    <row r="153">
      <c r="A153" s="88" t="n"/>
      <c r="G153" s="59" t="n"/>
      <c r="H153" s="59" t="n"/>
      <c r="I153" s="60">
        <f>IF(AND(G153&lt;&gt;"",H153&lt;&gt;""),(H153-G153)*24,"")</f>
        <v/>
      </c>
      <c r="J153" s="41" t="n"/>
      <c r="K153" s="54">
        <f>IF(C153&lt;&gt;"",C153,K152)</f>
        <v/>
      </c>
      <c r="L153" s="54">
        <f>IF(D153&lt;&gt;"",D153,L152)</f>
        <v/>
      </c>
      <c r="M153" s="54">
        <f>K153&amp;": "&amp;L153</f>
        <v/>
      </c>
    </row>
    <row r="154">
      <c r="A154" s="88" t="n"/>
      <c r="G154" s="59" t="n"/>
      <c r="H154" s="59" t="n"/>
      <c r="I154" s="60">
        <f>IF(AND(G154&lt;&gt;"",H154&lt;&gt;""),(H154-G154)*24,"")</f>
        <v/>
      </c>
      <c r="J154" s="41" t="n"/>
      <c r="K154" s="54">
        <f>IF(C154&lt;&gt;"",C154,K153)</f>
        <v/>
      </c>
      <c r="L154" s="54">
        <f>IF(D154&lt;&gt;"",D154,L153)</f>
        <v/>
      </c>
      <c r="M154" s="54">
        <f>K154&amp;": "&amp;L154</f>
        <v/>
      </c>
    </row>
    <row r="155">
      <c r="A155" s="88" t="n"/>
      <c r="G155" s="59" t="n"/>
      <c r="H155" s="59" t="n"/>
      <c r="I155" s="60">
        <f>IF(AND(G155&lt;&gt;"",H155&lt;&gt;""),(H155-G155)*24,"")</f>
        <v/>
      </c>
      <c r="J155" s="41" t="n"/>
      <c r="K155" s="54">
        <f>IF(C155&lt;&gt;"",C155,K154)</f>
        <v/>
      </c>
      <c r="L155" s="54">
        <f>IF(D155&lt;&gt;"",D155,L154)</f>
        <v/>
      </c>
      <c r="M155" s="54">
        <f>K155&amp;": "&amp;L155</f>
        <v/>
      </c>
    </row>
    <row r="156">
      <c r="A156" s="88" t="n"/>
      <c r="G156" s="59" t="n"/>
      <c r="H156" s="59" t="n"/>
      <c r="I156" s="60">
        <f>IF(AND(G156&lt;&gt;"",H156&lt;&gt;""),(H156-G156)*24,"")</f>
        <v/>
      </c>
      <c r="J156" s="41" t="n"/>
      <c r="K156" s="54">
        <f>IF(C156&lt;&gt;"",C156,K155)</f>
        <v/>
      </c>
      <c r="L156" s="54">
        <f>IF(D156&lt;&gt;"",D156,L155)</f>
        <v/>
      </c>
      <c r="M156" s="54">
        <f>K156&amp;": "&amp;L156</f>
        <v/>
      </c>
    </row>
    <row r="157">
      <c r="A157" s="88" t="n"/>
      <c r="G157" s="59" t="n"/>
      <c r="H157" s="59" t="n"/>
      <c r="I157" s="60">
        <f>IF(AND(G157&lt;&gt;"",H157&lt;&gt;""),(H157-G157)*24,"")</f>
        <v/>
      </c>
      <c r="J157" s="41" t="n"/>
      <c r="K157" s="54">
        <f>IF(C157&lt;&gt;"",C157,K156)</f>
        <v/>
      </c>
      <c r="L157" s="54">
        <f>IF(D157&lt;&gt;"",D157,L156)</f>
        <v/>
      </c>
      <c r="M157" s="54">
        <f>K157&amp;": "&amp;L157</f>
        <v/>
      </c>
    </row>
    <row r="158">
      <c r="A158" s="88" t="n"/>
      <c r="G158" s="59" t="n"/>
      <c r="H158" s="59" t="n"/>
      <c r="I158" s="60">
        <f>IF(AND(G158&lt;&gt;"",H158&lt;&gt;""),(H158-G158)*24,"")</f>
        <v/>
      </c>
      <c r="J158" s="41" t="n"/>
      <c r="K158" s="54">
        <f>IF(C158&lt;&gt;"",C158,K157)</f>
        <v/>
      </c>
      <c r="L158" s="54">
        <f>IF(D158&lt;&gt;"",D158,L157)</f>
        <v/>
      </c>
      <c r="M158" s="54">
        <f>K158&amp;": "&amp;L158</f>
        <v/>
      </c>
    </row>
    <row r="159">
      <c r="A159" s="88" t="n"/>
      <c r="G159" s="59" t="n"/>
      <c r="H159" s="59" t="n"/>
      <c r="I159" s="60">
        <f>IF(AND(G159&lt;&gt;"",H159&lt;&gt;""),(H159-G159)*24,"")</f>
        <v/>
      </c>
      <c r="J159" s="41" t="n"/>
      <c r="K159" s="54">
        <f>IF(C159&lt;&gt;"",C159,K158)</f>
        <v/>
      </c>
      <c r="L159" s="54">
        <f>IF(D159&lt;&gt;"",D159,L158)</f>
        <v/>
      </c>
      <c r="M159" s="54">
        <f>K159&amp;": "&amp;L159</f>
        <v/>
      </c>
    </row>
    <row r="160">
      <c r="A160" s="88" t="n"/>
      <c r="G160" s="59" t="n"/>
      <c r="H160" s="59" t="n"/>
      <c r="I160" s="60">
        <f>IF(AND(G160&lt;&gt;"",H160&lt;&gt;""),(H160-G160)*24,"")</f>
        <v/>
      </c>
      <c r="J160" s="41" t="n"/>
      <c r="K160" s="54">
        <f>IF(C160&lt;&gt;"",C160,K159)</f>
        <v/>
      </c>
      <c r="L160" s="54">
        <f>IF(D160&lt;&gt;"",D160,L159)</f>
        <v/>
      </c>
      <c r="M160" s="54">
        <f>K160&amp;": "&amp;L160</f>
        <v/>
      </c>
    </row>
    <row r="161">
      <c r="A161" s="88" t="n"/>
      <c r="G161" s="59" t="n"/>
      <c r="H161" s="59" t="n"/>
      <c r="I161" s="60">
        <f>IF(AND(G161&lt;&gt;"",H161&lt;&gt;""),(H161-G161)*24,"")</f>
        <v/>
      </c>
      <c r="J161" s="41" t="n"/>
      <c r="K161" s="54">
        <f>IF(C161&lt;&gt;"",C161,K160)</f>
        <v/>
      </c>
      <c r="L161" s="54">
        <f>IF(D161&lt;&gt;"",D161,L160)</f>
        <v/>
      </c>
      <c r="M161" s="54">
        <f>K161&amp;": "&amp;L161</f>
        <v/>
      </c>
    </row>
    <row r="162">
      <c r="A162" s="88" t="n"/>
      <c r="G162" s="59" t="n"/>
      <c r="H162" s="59" t="n"/>
      <c r="I162" s="60">
        <f>IF(AND(G162&lt;&gt;"",H162&lt;&gt;""),(H162-G162)*24,"")</f>
        <v/>
      </c>
      <c r="J162" s="41" t="n"/>
      <c r="K162" s="54">
        <f>IF(C162&lt;&gt;"",C162,K161)</f>
        <v/>
      </c>
      <c r="L162" s="54">
        <f>IF(D162&lt;&gt;"",D162,L161)</f>
        <v/>
      </c>
      <c r="M162" s="54">
        <f>K162&amp;": "&amp;L162</f>
        <v/>
      </c>
    </row>
    <row r="163">
      <c r="A163" s="88" t="n"/>
      <c r="G163" s="59" t="n"/>
      <c r="H163" s="59" t="n"/>
      <c r="I163" s="60">
        <f>IF(AND(G163&lt;&gt;"",H163&lt;&gt;""),(H163-G163)*24,"")</f>
        <v/>
      </c>
      <c r="J163" s="41" t="n"/>
      <c r="K163" s="54">
        <f>IF(C163&lt;&gt;"",C163,K162)</f>
        <v/>
      </c>
      <c r="L163" s="54">
        <f>IF(D163&lt;&gt;"",D163,L162)</f>
        <v/>
      </c>
      <c r="M163" s="54">
        <f>K163&amp;": "&amp;L163</f>
        <v/>
      </c>
    </row>
    <row r="164">
      <c r="A164" s="88" t="n"/>
      <c r="G164" s="59" t="n"/>
      <c r="H164" s="59" t="n"/>
      <c r="I164" s="60">
        <f>IF(AND(G164&lt;&gt;"",H164&lt;&gt;""),(H164-G164)*24,"")</f>
        <v/>
      </c>
      <c r="J164" s="41" t="n"/>
      <c r="K164" s="54">
        <f>IF(C164&lt;&gt;"",C164,K163)</f>
        <v/>
      </c>
      <c r="L164" s="54">
        <f>IF(D164&lt;&gt;"",D164,L163)</f>
        <v/>
      </c>
      <c r="M164" s="54">
        <f>K164&amp;": "&amp;L164</f>
        <v/>
      </c>
    </row>
    <row r="165">
      <c r="A165" s="88" t="n"/>
      <c r="G165" s="59" t="n"/>
      <c r="H165" s="59" t="n"/>
      <c r="I165" s="60">
        <f>IF(AND(G165&lt;&gt;"",H165&lt;&gt;""),(H165-G165)*24,"")</f>
        <v/>
      </c>
      <c r="J165" s="41" t="n"/>
      <c r="K165" s="54">
        <f>IF(C165&lt;&gt;"",C165,K164)</f>
        <v/>
      </c>
      <c r="L165" s="54">
        <f>IF(D165&lt;&gt;"",D165,L164)</f>
        <v/>
      </c>
      <c r="M165" s="54">
        <f>K165&amp;": "&amp;L165</f>
        <v/>
      </c>
    </row>
    <row r="166">
      <c r="A166" s="88" t="n"/>
      <c r="G166" s="59" t="n"/>
      <c r="H166" s="59" t="n"/>
      <c r="I166" s="60">
        <f>IF(AND(G166&lt;&gt;"",H166&lt;&gt;""),(H166-G166)*24,"")</f>
        <v/>
      </c>
      <c r="J166" s="41" t="n"/>
      <c r="K166" s="54">
        <f>IF(C166&lt;&gt;"",C166,K165)</f>
        <v/>
      </c>
      <c r="L166" s="54">
        <f>IF(D166&lt;&gt;"",D166,L165)</f>
        <v/>
      </c>
      <c r="M166" s="54">
        <f>K166&amp;": "&amp;L166</f>
        <v/>
      </c>
    </row>
    <row r="167">
      <c r="A167" s="88" t="n"/>
      <c r="G167" s="59" t="n"/>
      <c r="H167" s="59" t="n"/>
      <c r="I167" s="60">
        <f>IF(AND(G167&lt;&gt;"",H167&lt;&gt;""),(H167-G167)*24,"")</f>
        <v/>
      </c>
      <c r="J167" s="41" t="n"/>
      <c r="K167" s="54">
        <f>IF(C167&lt;&gt;"",C167,K166)</f>
        <v/>
      </c>
      <c r="L167" s="54">
        <f>IF(D167&lt;&gt;"",D167,L166)</f>
        <v/>
      </c>
      <c r="M167" s="54">
        <f>K167&amp;": "&amp;L167</f>
        <v/>
      </c>
    </row>
    <row r="168">
      <c r="A168" s="88" t="n"/>
      <c r="G168" s="59" t="n"/>
      <c r="H168" s="59" t="n"/>
      <c r="I168" s="60">
        <f>IF(AND(G168&lt;&gt;"",H168&lt;&gt;""),(H168-G168)*24,"")</f>
        <v/>
      </c>
      <c r="J168" s="41" t="n"/>
      <c r="K168" s="54">
        <f>IF(C168&lt;&gt;"",C168,K167)</f>
        <v/>
      </c>
      <c r="L168" s="54">
        <f>IF(D168&lt;&gt;"",D168,L167)</f>
        <v/>
      </c>
      <c r="M168" s="54">
        <f>K168&amp;": "&amp;L168</f>
        <v/>
      </c>
    </row>
    <row r="169">
      <c r="A169" s="88" t="n"/>
      <c r="G169" s="59" t="n"/>
      <c r="H169" s="59" t="n"/>
      <c r="I169" s="60">
        <f>IF(AND(G169&lt;&gt;"",H169&lt;&gt;""),(H169-G169)*24,"")</f>
        <v/>
      </c>
      <c r="J169" s="41" t="n"/>
      <c r="K169" s="54">
        <f>IF(C169&lt;&gt;"",C169,K168)</f>
        <v/>
      </c>
      <c r="L169" s="54">
        <f>IF(D169&lt;&gt;"",D169,L168)</f>
        <v/>
      </c>
      <c r="M169" s="54">
        <f>K169&amp;": "&amp;L169</f>
        <v/>
      </c>
    </row>
    <row r="170">
      <c r="A170" s="88" t="n"/>
      <c r="G170" s="59" t="n"/>
      <c r="H170" s="59" t="n"/>
      <c r="I170" s="60">
        <f>IF(AND(G170&lt;&gt;"",H170&lt;&gt;""),(H170-G170)*24,"")</f>
        <v/>
      </c>
      <c r="J170" s="41" t="n"/>
      <c r="K170" s="54">
        <f>IF(C170&lt;&gt;"",C170,K169)</f>
        <v/>
      </c>
      <c r="L170" s="54">
        <f>IF(D170&lt;&gt;"",D170,L169)</f>
        <v/>
      </c>
      <c r="M170" s="54">
        <f>K170&amp;": "&amp;L170</f>
        <v/>
      </c>
    </row>
    <row r="171">
      <c r="A171" s="88" t="n"/>
      <c r="G171" s="59" t="n"/>
      <c r="H171" s="59" t="n"/>
      <c r="I171" s="60">
        <f>IF(AND(G171&lt;&gt;"",H171&lt;&gt;""),(H171-G171)*24,"")</f>
        <v/>
      </c>
      <c r="J171" s="41" t="n"/>
      <c r="K171" s="54">
        <f>IF(C171&lt;&gt;"",C171,K170)</f>
        <v/>
      </c>
      <c r="L171" s="54">
        <f>IF(D171&lt;&gt;"",D171,L170)</f>
        <v/>
      </c>
      <c r="M171" s="54">
        <f>K171&amp;": "&amp;L171</f>
        <v/>
      </c>
    </row>
    <row r="172">
      <c r="A172" s="88" t="n"/>
      <c r="G172" s="59" t="n"/>
      <c r="H172" s="59" t="n"/>
      <c r="I172" s="60">
        <f>IF(AND(G172&lt;&gt;"",H172&lt;&gt;""),(H172-G172)*24,"")</f>
        <v/>
      </c>
      <c r="J172" s="41" t="n"/>
      <c r="K172" s="54">
        <f>IF(C172&lt;&gt;"",C172,K171)</f>
        <v/>
      </c>
      <c r="L172" s="54">
        <f>IF(D172&lt;&gt;"",D172,L171)</f>
        <v/>
      </c>
      <c r="M172" s="54">
        <f>K172&amp;": "&amp;L172</f>
        <v/>
      </c>
    </row>
    <row r="173">
      <c r="A173" s="88" t="n"/>
      <c r="G173" s="59" t="n"/>
      <c r="H173" s="59" t="n"/>
      <c r="I173" s="60">
        <f>IF(AND(G173&lt;&gt;"",H173&lt;&gt;""),(H173-G173)*24,"")</f>
        <v/>
      </c>
      <c r="J173" s="41" t="n"/>
      <c r="K173" s="54">
        <f>IF(C173&lt;&gt;"",C173,K172)</f>
        <v/>
      </c>
      <c r="L173" s="54">
        <f>IF(D173&lt;&gt;"",D173,L172)</f>
        <v/>
      </c>
      <c r="M173" s="54">
        <f>K173&amp;": "&amp;L173</f>
        <v/>
      </c>
    </row>
    <row r="174">
      <c r="A174" s="88" t="n"/>
      <c r="G174" s="59" t="n"/>
      <c r="H174" s="59" t="n"/>
      <c r="I174" s="60">
        <f>IF(AND(G174&lt;&gt;"",H174&lt;&gt;""),(H174-G174)*24,"")</f>
        <v/>
      </c>
      <c r="J174" s="41" t="n"/>
      <c r="K174" s="54">
        <f>IF(C174&lt;&gt;"",C174,K173)</f>
        <v/>
      </c>
      <c r="L174" s="54">
        <f>IF(D174&lt;&gt;"",D174,L173)</f>
        <v/>
      </c>
      <c r="M174" s="54">
        <f>K174&amp;": "&amp;L174</f>
        <v/>
      </c>
    </row>
    <row r="175">
      <c r="A175" s="88" t="n"/>
      <c r="G175" s="59" t="n"/>
      <c r="H175" s="59" t="n"/>
      <c r="I175" s="60">
        <f>IF(AND(G175&lt;&gt;"",H175&lt;&gt;""),(H175-G175)*24,"")</f>
        <v/>
      </c>
      <c r="J175" s="41" t="n"/>
      <c r="K175" s="54">
        <f>IF(C175&lt;&gt;"",C175,K174)</f>
        <v/>
      </c>
      <c r="L175" s="54">
        <f>IF(D175&lt;&gt;"",D175,L174)</f>
        <v/>
      </c>
      <c r="M175" s="54">
        <f>K175&amp;": "&amp;L175</f>
        <v/>
      </c>
    </row>
    <row r="176">
      <c r="A176" s="88" t="n"/>
      <c r="G176" s="59" t="n"/>
      <c r="H176" s="59" t="n"/>
      <c r="I176" s="60">
        <f>IF(AND(G176&lt;&gt;"",H176&lt;&gt;""),(H176-G176)*24,"")</f>
        <v/>
      </c>
      <c r="J176" s="41" t="n"/>
      <c r="K176" s="54">
        <f>IF(C176&lt;&gt;"",C176,K175)</f>
        <v/>
      </c>
      <c r="L176" s="54">
        <f>IF(D176&lt;&gt;"",D176,L175)</f>
        <v/>
      </c>
      <c r="M176" s="54">
        <f>K176&amp;": "&amp;L176</f>
        <v/>
      </c>
    </row>
    <row r="177">
      <c r="A177" s="88" t="n"/>
      <c r="G177" s="59" t="n"/>
      <c r="H177" s="59" t="n"/>
      <c r="I177" s="60">
        <f>IF(AND(G177&lt;&gt;"",H177&lt;&gt;""),(H177-G177)*24,"")</f>
        <v/>
      </c>
      <c r="J177" s="41" t="n"/>
      <c r="K177" s="54">
        <f>IF(C177&lt;&gt;"",C177,K176)</f>
        <v/>
      </c>
      <c r="L177" s="54">
        <f>IF(D177&lt;&gt;"",D177,L176)</f>
        <v/>
      </c>
      <c r="M177" s="54">
        <f>K177&amp;": "&amp;L177</f>
        <v/>
      </c>
    </row>
    <row r="178">
      <c r="A178" s="88" t="n"/>
      <c r="G178" s="59" t="n"/>
      <c r="H178" s="59" t="n"/>
      <c r="I178" s="60">
        <f>IF(AND(G178&lt;&gt;"",H178&lt;&gt;""),(H178-G178)*24,"")</f>
        <v/>
      </c>
      <c r="J178" s="41" t="n"/>
      <c r="K178" s="54">
        <f>IF(C178&lt;&gt;"",C178,K177)</f>
        <v/>
      </c>
      <c r="L178" s="54">
        <f>IF(D178&lt;&gt;"",D178,L177)</f>
        <v/>
      </c>
      <c r="M178" s="54">
        <f>K178&amp;": "&amp;L178</f>
        <v/>
      </c>
    </row>
    <row r="179">
      <c r="A179" s="88" t="n"/>
      <c r="G179" s="59" t="n"/>
      <c r="H179" s="59" t="n"/>
      <c r="I179" s="60">
        <f>IF(AND(G179&lt;&gt;"",H179&lt;&gt;""),(H179-G179)*24,"")</f>
        <v/>
      </c>
      <c r="J179" s="41" t="n"/>
      <c r="K179" s="54">
        <f>IF(C179&lt;&gt;"",C179,K178)</f>
        <v/>
      </c>
      <c r="L179" s="54">
        <f>IF(D179&lt;&gt;"",D179,L178)</f>
        <v/>
      </c>
      <c r="M179" s="54">
        <f>K179&amp;": "&amp;L179</f>
        <v/>
      </c>
    </row>
    <row r="180">
      <c r="A180" s="88" t="n"/>
      <c r="G180" s="59" t="n"/>
      <c r="H180" s="59" t="n"/>
      <c r="I180" s="60">
        <f>IF(AND(G180&lt;&gt;"",H180&lt;&gt;""),(H180-G180)*24,"")</f>
        <v/>
      </c>
      <c r="J180" s="41" t="n"/>
      <c r="K180" s="54">
        <f>IF(C180&lt;&gt;"",C180,K179)</f>
        <v/>
      </c>
      <c r="L180" s="54">
        <f>IF(D180&lt;&gt;"",D180,L179)</f>
        <v/>
      </c>
      <c r="M180" s="54">
        <f>K180&amp;": "&amp;L180</f>
        <v/>
      </c>
    </row>
    <row r="181">
      <c r="A181" s="88" t="n"/>
      <c r="G181" s="59" t="n"/>
      <c r="H181" s="59" t="n"/>
      <c r="I181" s="60">
        <f>IF(AND(G181&lt;&gt;"",H181&lt;&gt;""),(H181-G181)*24,"")</f>
        <v/>
      </c>
      <c r="J181" s="41" t="n"/>
      <c r="K181" s="54">
        <f>IF(C181&lt;&gt;"",C181,K180)</f>
        <v/>
      </c>
      <c r="L181" s="54">
        <f>IF(D181&lt;&gt;"",D181,L180)</f>
        <v/>
      </c>
      <c r="M181" s="54">
        <f>K181&amp;": "&amp;L181</f>
        <v/>
      </c>
    </row>
    <row r="182">
      <c r="A182" s="88" t="n"/>
      <c r="G182" s="59" t="n"/>
      <c r="H182" s="59" t="n"/>
      <c r="I182" s="60">
        <f>IF(AND(G182&lt;&gt;"",H182&lt;&gt;""),(H182-G182)*24,"")</f>
        <v/>
      </c>
      <c r="J182" s="41" t="n"/>
      <c r="K182" s="54">
        <f>IF(C182&lt;&gt;"",C182,K181)</f>
        <v/>
      </c>
      <c r="L182" s="54">
        <f>IF(D182&lt;&gt;"",D182,L181)</f>
        <v/>
      </c>
      <c r="M182" s="54">
        <f>K182&amp;": "&amp;L182</f>
        <v/>
      </c>
    </row>
    <row r="183">
      <c r="A183" s="88" t="n"/>
      <c r="G183" s="59" t="n"/>
      <c r="H183" s="59" t="n"/>
      <c r="I183" s="60">
        <f>IF(AND(G183&lt;&gt;"",H183&lt;&gt;""),(H183-G183)*24,"")</f>
        <v/>
      </c>
      <c r="J183" s="41" t="n"/>
      <c r="K183" s="54">
        <f>IF(C183&lt;&gt;"",C183,K182)</f>
        <v/>
      </c>
      <c r="L183" s="54">
        <f>IF(D183&lt;&gt;"",D183,L182)</f>
        <v/>
      </c>
      <c r="M183" s="54">
        <f>K183&amp;": "&amp;L183</f>
        <v/>
      </c>
    </row>
    <row r="184">
      <c r="A184" s="88" t="n"/>
      <c r="G184" s="59" t="n"/>
      <c r="H184" s="59" t="n"/>
      <c r="I184" s="60">
        <f>IF(AND(G184&lt;&gt;"",H184&lt;&gt;""),(H184-G184)*24,"")</f>
        <v/>
      </c>
      <c r="J184" s="41" t="n"/>
      <c r="K184" s="54">
        <f>IF(C184&lt;&gt;"",C184,K183)</f>
        <v/>
      </c>
      <c r="L184" s="54">
        <f>IF(D184&lt;&gt;"",D184,L183)</f>
        <v/>
      </c>
      <c r="M184" s="54">
        <f>K184&amp;": "&amp;L184</f>
        <v/>
      </c>
    </row>
    <row r="185">
      <c r="A185" s="88" t="n"/>
      <c r="G185" s="59" t="n"/>
      <c r="H185" s="59" t="n"/>
      <c r="I185" s="60">
        <f>IF(AND(G185&lt;&gt;"",H185&lt;&gt;""),(H185-G185)*24,"")</f>
        <v/>
      </c>
      <c r="J185" s="41" t="n"/>
      <c r="K185" s="54">
        <f>IF(C185&lt;&gt;"",C185,K184)</f>
        <v/>
      </c>
      <c r="L185" s="54">
        <f>IF(D185&lt;&gt;"",D185,L184)</f>
        <v/>
      </c>
      <c r="M185" s="54">
        <f>K185&amp;": "&amp;L185</f>
        <v/>
      </c>
    </row>
    <row r="186">
      <c r="A186" s="88" t="n"/>
      <c r="G186" s="59" t="n"/>
      <c r="H186" s="59" t="n"/>
      <c r="I186" s="60">
        <f>IF(AND(G186&lt;&gt;"",H186&lt;&gt;""),(H186-G186)*24,"")</f>
        <v/>
      </c>
      <c r="J186" s="41" t="n"/>
      <c r="K186" s="54">
        <f>IF(C186&lt;&gt;"",C186,K185)</f>
        <v/>
      </c>
      <c r="L186" s="54">
        <f>IF(D186&lt;&gt;"",D186,L185)</f>
        <v/>
      </c>
      <c r="M186" s="54">
        <f>K186&amp;": "&amp;L186</f>
        <v/>
      </c>
    </row>
    <row r="187">
      <c r="A187" s="88" t="n"/>
      <c r="G187" s="59" t="n"/>
      <c r="H187" s="59" t="n"/>
      <c r="I187" s="60">
        <f>IF(AND(G187&lt;&gt;"",H187&lt;&gt;""),(H187-G187)*24,"")</f>
        <v/>
      </c>
      <c r="J187" s="41" t="n"/>
      <c r="K187" s="54">
        <f>IF(C187&lt;&gt;"",C187,K186)</f>
        <v/>
      </c>
      <c r="L187" s="54">
        <f>IF(D187&lt;&gt;"",D187,L186)</f>
        <v/>
      </c>
      <c r="M187" s="54">
        <f>K187&amp;": "&amp;L187</f>
        <v/>
      </c>
    </row>
    <row r="188">
      <c r="A188" s="88" t="n"/>
      <c r="G188" s="59" t="n"/>
      <c r="H188" s="59" t="n"/>
      <c r="I188" s="60">
        <f>IF(AND(G188&lt;&gt;"",H188&lt;&gt;""),(H188-G188)*24,"")</f>
        <v/>
      </c>
      <c r="J188" s="41" t="n"/>
      <c r="K188" s="54">
        <f>IF(C188&lt;&gt;"",C188,K187)</f>
        <v/>
      </c>
      <c r="L188" s="54">
        <f>IF(D188&lt;&gt;"",D188,L187)</f>
        <v/>
      </c>
      <c r="M188" s="54">
        <f>K188&amp;": "&amp;L188</f>
        <v/>
      </c>
    </row>
    <row r="189">
      <c r="A189" s="88" t="n"/>
      <c r="G189" s="59" t="n"/>
      <c r="H189" s="59" t="n"/>
      <c r="I189" s="60">
        <f>IF(AND(G189&lt;&gt;"",H189&lt;&gt;""),(H189-G189)*24,"")</f>
        <v/>
      </c>
      <c r="J189" s="41" t="n"/>
      <c r="K189" s="54">
        <f>IF(C189&lt;&gt;"",C189,K188)</f>
        <v/>
      </c>
      <c r="L189" s="54">
        <f>IF(D189&lt;&gt;"",D189,L188)</f>
        <v/>
      </c>
      <c r="M189" s="54">
        <f>K189&amp;": "&amp;L189</f>
        <v/>
      </c>
    </row>
    <row r="190">
      <c r="A190" s="88" t="n"/>
      <c r="G190" s="59" t="n"/>
      <c r="H190" s="59" t="n"/>
      <c r="I190" s="60">
        <f>IF(AND(G190&lt;&gt;"",H190&lt;&gt;""),(H190-G190)*24,"")</f>
        <v/>
      </c>
      <c r="J190" s="41" t="n"/>
      <c r="K190" s="54">
        <f>IF(C190&lt;&gt;"",C190,K189)</f>
        <v/>
      </c>
      <c r="L190" s="54">
        <f>IF(D190&lt;&gt;"",D190,L189)</f>
        <v/>
      </c>
      <c r="M190" s="54">
        <f>K190&amp;": "&amp;L190</f>
        <v/>
      </c>
    </row>
    <row r="191">
      <c r="A191" s="88" t="n"/>
      <c r="G191" s="59" t="n"/>
      <c r="H191" s="59" t="n"/>
      <c r="I191" s="60">
        <f>IF(AND(G191&lt;&gt;"",H191&lt;&gt;""),(H191-G191)*24,"")</f>
        <v/>
      </c>
      <c r="J191" s="41" t="n"/>
      <c r="K191" s="54">
        <f>IF(C191&lt;&gt;"",C191,K190)</f>
        <v/>
      </c>
      <c r="L191" s="54">
        <f>IF(D191&lt;&gt;"",D191,L190)</f>
        <v/>
      </c>
      <c r="M191" s="54">
        <f>K191&amp;": "&amp;L191</f>
        <v/>
      </c>
    </row>
    <row r="192">
      <c r="A192" s="88" t="n"/>
      <c r="G192" s="59" t="n"/>
      <c r="H192" s="59" t="n"/>
      <c r="I192" s="60">
        <f>IF(AND(G192&lt;&gt;"",H192&lt;&gt;""),(H192-G192)*24,"")</f>
        <v/>
      </c>
      <c r="J192" s="41" t="n"/>
      <c r="K192" s="54">
        <f>IF(C192&lt;&gt;"",C192,K191)</f>
        <v/>
      </c>
      <c r="L192" s="54">
        <f>IF(D192&lt;&gt;"",D192,L191)</f>
        <v/>
      </c>
      <c r="M192" s="54">
        <f>K192&amp;": "&amp;L192</f>
        <v/>
      </c>
    </row>
    <row r="193">
      <c r="A193" s="88" t="n"/>
      <c r="G193" s="59" t="n"/>
      <c r="H193" s="59" t="n"/>
      <c r="I193" s="60">
        <f>IF(AND(G193&lt;&gt;"",H193&lt;&gt;""),(H193-G193)*24,"")</f>
        <v/>
      </c>
      <c r="J193" s="41" t="n"/>
      <c r="K193" s="54">
        <f>IF(C193&lt;&gt;"",C193,K192)</f>
        <v/>
      </c>
      <c r="L193" s="54">
        <f>IF(D193&lt;&gt;"",D193,L192)</f>
        <v/>
      </c>
      <c r="M193" s="54">
        <f>K193&amp;": "&amp;L193</f>
        <v/>
      </c>
    </row>
    <row r="194">
      <c r="A194" s="88" t="n"/>
      <c r="G194" s="59" t="n"/>
      <c r="H194" s="59" t="n"/>
      <c r="I194" s="60">
        <f>IF(AND(G194&lt;&gt;"",H194&lt;&gt;""),(H194-G194)*24,"")</f>
        <v/>
      </c>
      <c r="J194" s="41" t="n"/>
      <c r="K194" s="54">
        <f>IF(C194&lt;&gt;"",C194,K193)</f>
        <v/>
      </c>
      <c r="L194" s="54">
        <f>IF(D194&lt;&gt;"",D194,L193)</f>
        <v/>
      </c>
      <c r="M194" s="54">
        <f>K194&amp;": "&amp;L194</f>
        <v/>
      </c>
    </row>
    <row r="195">
      <c r="A195" s="88" t="n"/>
      <c r="G195" s="59" t="n"/>
      <c r="H195" s="59" t="n"/>
      <c r="I195" s="60">
        <f>IF(AND(G195&lt;&gt;"",H195&lt;&gt;""),(H195-G195)*24,"")</f>
        <v/>
      </c>
      <c r="J195" s="41" t="n"/>
      <c r="K195" s="54">
        <f>IF(C195&lt;&gt;"",C195,K194)</f>
        <v/>
      </c>
      <c r="L195" s="54">
        <f>IF(D195&lt;&gt;"",D195,L194)</f>
        <v/>
      </c>
      <c r="M195" s="54">
        <f>K195&amp;": "&amp;L195</f>
        <v/>
      </c>
    </row>
    <row r="196">
      <c r="A196" s="88" t="n"/>
      <c r="G196" s="59" t="n"/>
      <c r="H196" s="59" t="n"/>
      <c r="I196" s="60">
        <f>IF(AND(G196&lt;&gt;"",H196&lt;&gt;""),(H196-G196)*24,"")</f>
        <v/>
      </c>
      <c r="J196" s="41" t="n"/>
      <c r="K196" s="54">
        <f>IF(C196&lt;&gt;"",C196,K195)</f>
        <v/>
      </c>
      <c r="L196" s="54">
        <f>IF(D196&lt;&gt;"",D196,L195)</f>
        <v/>
      </c>
      <c r="M196" s="54">
        <f>K196&amp;": "&amp;L196</f>
        <v/>
      </c>
    </row>
    <row r="197">
      <c r="A197" s="88" t="n"/>
      <c r="G197" s="59" t="n"/>
      <c r="H197" s="59" t="n"/>
      <c r="I197" s="60">
        <f>IF(AND(G197&lt;&gt;"",H197&lt;&gt;""),(H197-G197)*24,"")</f>
        <v/>
      </c>
      <c r="J197" s="41" t="n"/>
      <c r="K197" s="54">
        <f>IF(C197&lt;&gt;"",C197,K196)</f>
        <v/>
      </c>
      <c r="L197" s="54">
        <f>IF(D197&lt;&gt;"",D197,L196)</f>
        <v/>
      </c>
      <c r="M197" s="54">
        <f>K197&amp;": "&amp;L197</f>
        <v/>
      </c>
    </row>
    <row r="198">
      <c r="A198" s="88" t="n"/>
      <c r="G198" s="59" t="n"/>
      <c r="H198" s="59" t="n"/>
      <c r="I198" s="60">
        <f>IF(AND(G198&lt;&gt;"",H198&lt;&gt;""),(H198-G198)*24,"")</f>
        <v/>
      </c>
      <c r="J198" s="41" t="n"/>
      <c r="K198" s="54">
        <f>IF(C198&lt;&gt;"",C198,K197)</f>
        <v/>
      </c>
      <c r="L198" s="54">
        <f>IF(D198&lt;&gt;"",D198,L197)</f>
        <v/>
      </c>
      <c r="M198" s="54">
        <f>K198&amp;": "&amp;L198</f>
        <v/>
      </c>
    </row>
    <row r="199">
      <c r="A199" s="88" t="n"/>
      <c r="G199" s="59" t="n"/>
      <c r="H199" s="59" t="n"/>
      <c r="I199" s="60">
        <f>IF(AND(G199&lt;&gt;"",H199&lt;&gt;""),(H199-G199)*24,"")</f>
        <v/>
      </c>
      <c r="J199" s="41" t="n"/>
      <c r="K199" s="54">
        <f>IF(C199&lt;&gt;"",C199,K198)</f>
        <v/>
      </c>
      <c r="L199" s="54">
        <f>IF(D199&lt;&gt;"",D199,L198)</f>
        <v/>
      </c>
      <c r="M199" s="54">
        <f>K199&amp;": "&amp;L199</f>
        <v/>
      </c>
    </row>
    <row r="200">
      <c r="A200" s="88" t="n"/>
      <c r="G200" s="59" t="n"/>
      <c r="H200" s="59" t="n"/>
      <c r="I200" s="60">
        <f>IF(AND(G200&lt;&gt;"",H200&lt;&gt;""),(H200-G200)*24,"")</f>
        <v/>
      </c>
      <c r="J200" s="41" t="n"/>
      <c r="K200" s="54">
        <f>IF(C200&lt;&gt;"",C200,K199)</f>
        <v/>
      </c>
      <c r="L200" s="54">
        <f>IF(D200&lt;&gt;"",D200,L199)</f>
        <v/>
      </c>
      <c r="M200" s="54">
        <f>K200&amp;": "&amp;L200</f>
        <v/>
      </c>
    </row>
  </sheetData>
  <autoFilter ref="A1:I200"/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H200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35" customWidth="1" min="1" max="1"/>
    <col width="20" customWidth="1" min="2" max="2"/>
    <col width="14" customWidth="1" min="3" max="3"/>
    <col width="16" customWidth="1" min="4" max="4"/>
    <col width="14" customWidth="1" min="5" max="5"/>
    <col width="16" customWidth="1" min="6" max="6"/>
    <col width="16" customWidth="1" min="7" max="7"/>
    <col width="35" customWidth="1" min="8" max="8"/>
  </cols>
  <sheetData>
    <row r="1">
      <c r="A1" s="61" t="inlineStr">
        <is>
          <t>Father Task</t>
        </is>
      </c>
      <c r="B1" s="61" t="inlineStr">
        <is>
          <t>Project</t>
        </is>
      </c>
      <c r="C1" s="61" t="inlineStr">
        <is>
          <t>Date</t>
        </is>
      </c>
      <c r="D1" s="61" t="inlineStr">
        <is>
          <t>Deadline (days)</t>
        </is>
      </c>
      <c r="E1" s="61" t="inlineStr">
        <is>
          <t>Deadline (h)</t>
        </is>
      </c>
      <c r="F1" s="61" t="inlineStr">
        <is>
          <t>Status</t>
        </is>
      </c>
      <c r="G1" s="61" t="inlineStr">
        <is>
          <t>Completed Date</t>
        </is>
      </c>
      <c r="H1" s="61" t="inlineStr">
        <is>
          <t>Notes</t>
        </is>
      </c>
    </row>
    <row r="2">
      <c r="A2" s="62" t="inlineStr">
        <is>
          <t>API Integration</t>
        </is>
      </c>
      <c r="B2" t="inlineStr">
        <is>
          <t>Backend</t>
        </is>
      </c>
      <c r="C2" s="88" t="n">
        <v>46217</v>
      </c>
      <c r="D2" t="n">
        <v>3</v>
      </c>
      <c r="E2" s="63">
        <f>IF(D2&lt;&gt;"",D2*7.5,"")</f>
        <v/>
      </c>
      <c r="F2" t="inlineStr">
        <is>
          <t>In Progress</t>
        </is>
      </c>
      <c r="G2" s="88" t="n"/>
    </row>
    <row r="3">
      <c r="A3" t="inlineStr">
        <is>
          <t>Code Review</t>
        </is>
      </c>
      <c r="B3" t="inlineStr">
        <is>
          <t>Backend</t>
        </is>
      </c>
      <c r="C3" s="88" t="n">
        <v>46217</v>
      </c>
      <c r="D3" t="n">
        <v>1</v>
      </c>
      <c r="E3" s="63">
        <f>IF(D3&lt;&gt;"",D3*7.5,"")</f>
        <v/>
      </c>
      <c r="F3" t="inlineStr">
        <is>
          <t>Done</t>
        </is>
      </c>
      <c r="G3" s="88" t="n">
        <v>46217</v>
      </c>
    </row>
    <row r="4">
      <c r="C4" s="88" t="n"/>
      <c r="E4" s="63" t="n"/>
      <c r="G4" s="88" t="n"/>
    </row>
    <row r="5">
      <c r="C5" s="88" t="n"/>
      <c r="E5" s="63" t="n"/>
      <c r="G5" s="88" t="n"/>
    </row>
    <row r="6">
      <c r="C6" s="88" t="n"/>
      <c r="E6" s="63" t="n"/>
      <c r="G6" s="88" t="n"/>
    </row>
    <row r="7">
      <c r="C7" s="88" t="n"/>
      <c r="E7" s="63" t="n"/>
      <c r="G7" s="88" t="n"/>
    </row>
    <row r="8">
      <c r="C8" s="88" t="n"/>
      <c r="E8" s="63" t="n"/>
      <c r="G8" s="88" t="n"/>
    </row>
    <row r="9">
      <c r="C9" s="88" t="n"/>
      <c r="E9" s="63" t="n"/>
      <c r="G9" s="88" t="n"/>
    </row>
    <row r="10">
      <c r="C10" s="88" t="n"/>
      <c r="E10" s="63" t="n"/>
      <c r="G10" s="88" t="n"/>
    </row>
    <row r="11">
      <c r="C11" s="88" t="n"/>
      <c r="E11" s="63" t="n"/>
      <c r="G11" s="88" t="n"/>
    </row>
    <row r="12">
      <c r="C12" s="88" t="n"/>
      <c r="E12" s="63" t="n"/>
      <c r="G12" s="88" t="n"/>
    </row>
    <row r="13">
      <c r="C13" s="88" t="n"/>
      <c r="E13" s="63" t="n"/>
      <c r="G13" s="88" t="n"/>
    </row>
    <row r="14">
      <c r="C14" s="88" t="n"/>
      <c r="E14" s="63" t="n"/>
      <c r="G14" s="88" t="n"/>
    </row>
    <row r="15">
      <c r="C15" s="88" t="n"/>
      <c r="E15" s="63" t="n"/>
      <c r="G15" s="88" t="n"/>
    </row>
    <row r="16">
      <c r="C16" s="88" t="n"/>
      <c r="E16" s="63" t="n"/>
      <c r="G16" s="88" t="n"/>
    </row>
    <row r="17">
      <c r="C17" s="88" t="n"/>
      <c r="E17" s="63" t="n"/>
      <c r="G17" s="88" t="n"/>
    </row>
    <row r="18">
      <c r="C18" s="88" t="n"/>
      <c r="E18" s="63" t="n"/>
      <c r="G18" s="88" t="n"/>
    </row>
    <row r="19">
      <c r="C19" s="88" t="n"/>
      <c r="E19" s="63" t="n"/>
      <c r="G19" s="88" t="n"/>
    </row>
    <row r="20">
      <c r="C20" s="88" t="n"/>
      <c r="E20" s="63" t="n"/>
      <c r="G20" s="88" t="n"/>
    </row>
    <row r="21">
      <c r="C21" s="88" t="n"/>
      <c r="E21" s="63" t="n"/>
      <c r="G21" s="88" t="n"/>
    </row>
    <row r="22">
      <c r="C22" s="88" t="n"/>
      <c r="E22" s="63" t="n"/>
      <c r="G22" s="88" t="n"/>
    </row>
    <row r="23">
      <c r="C23" s="88" t="n"/>
      <c r="E23" s="63" t="n"/>
      <c r="G23" s="88" t="n"/>
    </row>
    <row r="24">
      <c r="C24" s="88" t="n"/>
      <c r="E24" s="63" t="n"/>
      <c r="G24" s="88" t="n"/>
    </row>
    <row r="25">
      <c r="C25" s="88" t="n"/>
      <c r="E25" s="63" t="n"/>
      <c r="G25" s="88" t="n"/>
    </row>
    <row r="26">
      <c r="C26" s="88" t="n"/>
      <c r="E26" s="63" t="n"/>
      <c r="G26" s="88" t="n"/>
    </row>
    <row r="27">
      <c r="C27" s="88" t="n"/>
      <c r="E27" s="63" t="n"/>
      <c r="G27" s="88" t="n"/>
    </row>
    <row r="28">
      <c r="C28" s="88" t="n"/>
      <c r="E28" s="63" t="n"/>
      <c r="G28" s="88" t="n"/>
    </row>
    <row r="29">
      <c r="C29" s="88" t="n"/>
      <c r="E29" s="63" t="n"/>
      <c r="G29" s="88" t="n"/>
    </row>
    <row r="30">
      <c r="C30" s="88" t="n"/>
      <c r="E30" s="63" t="n"/>
      <c r="G30" s="88" t="n"/>
    </row>
    <row r="31">
      <c r="C31" s="88" t="n"/>
      <c r="E31" s="63" t="n"/>
      <c r="G31" s="88" t="n"/>
    </row>
    <row r="32">
      <c r="C32" s="88" t="n"/>
      <c r="E32" s="63" t="n"/>
      <c r="G32" s="88" t="n"/>
    </row>
    <row r="33">
      <c r="C33" s="88" t="n"/>
      <c r="E33" s="63" t="n"/>
      <c r="G33" s="88" t="n"/>
    </row>
    <row r="34">
      <c r="C34" s="88" t="n"/>
      <c r="E34" s="63" t="n"/>
      <c r="G34" s="88" t="n"/>
    </row>
    <row r="35">
      <c r="C35" s="88" t="n"/>
      <c r="E35" s="63" t="n"/>
      <c r="G35" s="88" t="n"/>
    </row>
    <row r="36">
      <c r="C36" s="88" t="n"/>
      <c r="E36" s="63" t="n"/>
      <c r="G36" s="88" t="n"/>
    </row>
    <row r="37">
      <c r="C37" s="88" t="n"/>
      <c r="E37" s="63" t="n"/>
      <c r="G37" s="88" t="n"/>
    </row>
    <row r="38">
      <c r="C38" s="88" t="n"/>
      <c r="E38" s="63" t="n"/>
      <c r="G38" s="88" t="n"/>
    </row>
    <row r="39">
      <c r="C39" s="88" t="n"/>
      <c r="E39" s="63" t="n"/>
      <c r="G39" s="88" t="n"/>
    </row>
    <row r="40">
      <c r="C40" s="88" t="n"/>
      <c r="E40" s="63" t="n"/>
      <c r="G40" s="88" t="n"/>
    </row>
    <row r="41">
      <c r="C41" s="88" t="n"/>
      <c r="E41" s="63" t="n"/>
      <c r="G41" s="88" t="n"/>
    </row>
    <row r="42">
      <c r="C42" s="88" t="n"/>
      <c r="E42" s="63" t="n"/>
      <c r="G42" s="88" t="n"/>
    </row>
    <row r="43">
      <c r="C43" s="88" t="n"/>
      <c r="E43" s="63" t="n"/>
      <c r="G43" s="88" t="n"/>
    </row>
    <row r="44">
      <c r="C44" s="88" t="n"/>
      <c r="E44" s="63" t="n"/>
      <c r="G44" s="88" t="n"/>
    </row>
    <row r="45">
      <c r="C45" s="88" t="n"/>
      <c r="E45" s="63" t="n"/>
      <c r="G45" s="88" t="n"/>
    </row>
    <row r="46">
      <c r="C46" s="88" t="n"/>
      <c r="E46" s="63" t="n"/>
      <c r="G46" s="88" t="n"/>
    </row>
    <row r="47">
      <c r="C47" s="88" t="n"/>
      <c r="E47" s="63" t="n"/>
      <c r="G47" s="88" t="n"/>
    </row>
    <row r="48">
      <c r="C48" s="88" t="n"/>
      <c r="E48" s="63" t="n"/>
      <c r="G48" s="88" t="n"/>
    </row>
    <row r="49">
      <c r="C49" s="88" t="n"/>
      <c r="E49" s="63" t="n"/>
      <c r="G49" s="88" t="n"/>
    </row>
    <row r="50">
      <c r="C50" s="88" t="n"/>
      <c r="E50" s="63" t="n"/>
      <c r="G50" s="88" t="n"/>
    </row>
    <row r="51">
      <c r="C51" s="88" t="n"/>
      <c r="E51" s="63" t="n"/>
      <c r="G51" s="88" t="n"/>
    </row>
    <row r="52">
      <c r="C52" s="88" t="n"/>
      <c r="E52" s="63" t="n"/>
      <c r="G52" s="88" t="n"/>
    </row>
    <row r="53">
      <c r="C53" s="88" t="n"/>
      <c r="E53" s="63" t="n"/>
      <c r="G53" s="88" t="n"/>
    </row>
    <row r="54">
      <c r="C54" s="88" t="n"/>
      <c r="E54" s="63" t="n"/>
      <c r="G54" s="88" t="n"/>
    </row>
    <row r="55">
      <c r="C55" s="88" t="n"/>
      <c r="E55" s="63" t="n"/>
      <c r="G55" s="88" t="n"/>
    </row>
    <row r="56">
      <c r="C56" s="88" t="n"/>
      <c r="E56" s="63" t="n"/>
      <c r="G56" s="88" t="n"/>
    </row>
    <row r="57">
      <c r="C57" s="88" t="n"/>
      <c r="E57" s="63" t="n"/>
      <c r="G57" s="88" t="n"/>
    </row>
    <row r="58">
      <c r="C58" s="88" t="n"/>
      <c r="E58" s="63" t="n"/>
      <c r="G58" s="88" t="n"/>
    </row>
    <row r="59">
      <c r="C59" s="88" t="n"/>
      <c r="E59" s="63" t="n"/>
      <c r="G59" s="88" t="n"/>
    </row>
    <row r="60">
      <c r="C60" s="88" t="n"/>
      <c r="E60" s="63" t="n"/>
      <c r="G60" s="88" t="n"/>
    </row>
    <row r="61">
      <c r="C61" s="88" t="n"/>
      <c r="E61" s="63" t="n"/>
      <c r="G61" s="88" t="n"/>
    </row>
    <row r="62">
      <c r="C62" s="88" t="n"/>
      <c r="E62" s="63" t="n"/>
      <c r="G62" s="88" t="n"/>
    </row>
    <row r="63">
      <c r="C63" s="88" t="n"/>
      <c r="E63" s="63" t="n"/>
      <c r="G63" s="88" t="n"/>
    </row>
    <row r="64">
      <c r="C64" s="88" t="n"/>
      <c r="E64" s="63" t="n"/>
      <c r="G64" s="88" t="n"/>
    </row>
    <row r="65">
      <c r="C65" s="88" t="n"/>
      <c r="E65" s="63" t="n"/>
      <c r="G65" s="88" t="n"/>
    </row>
    <row r="66">
      <c r="C66" s="88" t="n"/>
      <c r="E66" s="63" t="n"/>
      <c r="G66" s="88" t="n"/>
    </row>
    <row r="67">
      <c r="C67" s="88" t="n"/>
      <c r="E67" s="63" t="n"/>
      <c r="G67" s="88" t="n"/>
    </row>
    <row r="68">
      <c r="C68" s="88" t="n"/>
      <c r="E68" s="63" t="n"/>
      <c r="G68" s="88" t="n"/>
    </row>
    <row r="69">
      <c r="C69" s="88" t="n"/>
      <c r="E69" s="63" t="n"/>
      <c r="G69" s="88" t="n"/>
    </row>
    <row r="70">
      <c r="C70" s="88" t="n"/>
      <c r="E70" s="63" t="n"/>
      <c r="G70" s="88" t="n"/>
    </row>
    <row r="71">
      <c r="C71" s="88" t="n"/>
      <c r="E71" s="63" t="n"/>
      <c r="G71" s="88" t="n"/>
    </row>
    <row r="72">
      <c r="C72" s="88" t="n"/>
      <c r="E72" s="63" t="n"/>
      <c r="G72" s="88" t="n"/>
    </row>
    <row r="73">
      <c r="C73" s="88" t="n"/>
      <c r="E73" s="63" t="n"/>
      <c r="G73" s="88" t="n"/>
    </row>
    <row r="74">
      <c r="C74" s="88" t="n"/>
      <c r="E74" s="63" t="n"/>
      <c r="G74" s="88" t="n"/>
    </row>
    <row r="75">
      <c r="C75" s="88" t="n"/>
      <c r="E75" s="63" t="n"/>
      <c r="G75" s="88" t="n"/>
    </row>
    <row r="76">
      <c r="C76" s="88" t="n"/>
      <c r="E76" s="63" t="n"/>
      <c r="G76" s="88" t="n"/>
    </row>
    <row r="77">
      <c r="C77" s="88" t="n"/>
      <c r="E77" s="63" t="n"/>
      <c r="G77" s="88" t="n"/>
    </row>
    <row r="78">
      <c r="C78" s="88" t="n"/>
      <c r="E78" s="63" t="n"/>
      <c r="G78" s="88" t="n"/>
    </row>
    <row r="79">
      <c r="C79" s="88" t="n"/>
      <c r="E79" s="63" t="n"/>
      <c r="G79" s="88" t="n"/>
    </row>
    <row r="80">
      <c r="C80" s="88" t="n"/>
      <c r="E80" s="63" t="n"/>
      <c r="G80" s="88" t="n"/>
    </row>
    <row r="81">
      <c r="C81" s="88" t="n"/>
      <c r="E81" s="63" t="n"/>
      <c r="G81" s="88" t="n"/>
    </row>
    <row r="82">
      <c r="C82" s="88" t="n"/>
      <c r="E82" s="63" t="n"/>
      <c r="G82" s="88" t="n"/>
    </row>
    <row r="83">
      <c r="C83" s="88" t="n"/>
      <c r="E83" s="63" t="n"/>
      <c r="G83" s="88" t="n"/>
    </row>
    <row r="84">
      <c r="C84" s="88" t="n"/>
      <c r="E84" s="63" t="n"/>
      <c r="G84" s="88" t="n"/>
    </row>
    <row r="85">
      <c r="C85" s="88" t="n"/>
      <c r="E85" s="63" t="n"/>
      <c r="G85" s="88" t="n"/>
    </row>
    <row r="86">
      <c r="C86" s="88" t="n"/>
      <c r="E86" s="63" t="n"/>
      <c r="G86" s="88" t="n"/>
    </row>
    <row r="87">
      <c r="C87" s="88" t="n"/>
      <c r="E87" s="63" t="n"/>
      <c r="G87" s="88" t="n"/>
    </row>
    <row r="88">
      <c r="C88" s="88" t="n"/>
      <c r="E88" s="63" t="n"/>
      <c r="G88" s="88" t="n"/>
    </row>
    <row r="89">
      <c r="C89" s="88" t="n"/>
      <c r="E89" s="63" t="n"/>
      <c r="G89" s="88" t="n"/>
    </row>
    <row r="90">
      <c r="C90" s="88" t="n"/>
      <c r="E90" s="63" t="n"/>
      <c r="G90" s="88" t="n"/>
    </row>
    <row r="91">
      <c r="C91" s="88" t="n"/>
      <c r="E91" s="63" t="n"/>
      <c r="G91" s="88" t="n"/>
    </row>
    <row r="92">
      <c r="C92" s="88" t="n"/>
      <c r="E92" s="63" t="n"/>
      <c r="G92" s="88" t="n"/>
    </row>
    <row r="93">
      <c r="C93" s="88" t="n"/>
      <c r="E93" s="63" t="n"/>
      <c r="G93" s="88" t="n"/>
    </row>
    <row r="94">
      <c r="C94" s="88" t="n"/>
      <c r="E94" s="63" t="n"/>
      <c r="G94" s="88" t="n"/>
    </row>
    <row r="95">
      <c r="C95" s="88" t="n"/>
      <c r="E95" s="63" t="n"/>
      <c r="G95" s="88" t="n"/>
    </row>
    <row r="96">
      <c r="C96" s="88" t="n"/>
      <c r="E96" s="63" t="n"/>
      <c r="G96" s="88" t="n"/>
    </row>
    <row r="97">
      <c r="C97" s="88" t="n"/>
      <c r="E97" s="63" t="n"/>
      <c r="G97" s="88" t="n"/>
    </row>
    <row r="98">
      <c r="C98" s="88" t="n"/>
      <c r="E98" s="63" t="n"/>
      <c r="G98" s="88" t="n"/>
    </row>
    <row r="99">
      <c r="C99" s="88" t="n"/>
      <c r="E99" s="63" t="n"/>
      <c r="G99" s="88" t="n"/>
    </row>
    <row r="100">
      <c r="C100" s="88" t="n"/>
      <c r="E100" s="63" t="n"/>
      <c r="G100" s="88" t="n"/>
    </row>
    <row r="101">
      <c r="C101" s="88" t="n"/>
      <c r="E101" s="63" t="n"/>
      <c r="G101" s="88" t="n"/>
    </row>
    <row r="102">
      <c r="C102" s="88" t="n"/>
      <c r="E102" s="63" t="n"/>
      <c r="G102" s="88" t="n"/>
    </row>
    <row r="103">
      <c r="C103" s="88" t="n"/>
      <c r="E103" s="63" t="n"/>
      <c r="G103" s="88" t="n"/>
    </row>
    <row r="104">
      <c r="C104" s="88" t="n"/>
      <c r="E104" s="63" t="n"/>
      <c r="G104" s="88" t="n"/>
    </row>
    <row r="105">
      <c r="C105" s="88" t="n"/>
      <c r="E105" s="63" t="n"/>
      <c r="G105" s="88" t="n"/>
    </row>
    <row r="106">
      <c r="C106" s="88" t="n"/>
      <c r="E106" s="63" t="n"/>
      <c r="G106" s="88" t="n"/>
    </row>
    <row r="107">
      <c r="C107" s="88" t="n"/>
      <c r="E107" s="63" t="n"/>
      <c r="G107" s="88" t="n"/>
    </row>
    <row r="108">
      <c r="C108" s="88" t="n"/>
      <c r="E108" s="63" t="n"/>
      <c r="G108" s="88" t="n"/>
    </row>
    <row r="109">
      <c r="C109" s="88" t="n"/>
      <c r="E109" s="63" t="n"/>
      <c r="G109" s="88" t="n"/>
    </row>
    <row r="110">
      <c r="C110" s="88" t="n"/>
      <c r="E110" s="63" t="n"/>
      <c r="G110" s="88" t="n"/>
    </row>
    <row r="111">
      <c r="C111" s="88" t="n"/>
      <c r="E111" s="63" t="n"/>
      <c r="G111" s="88" t="n"/>
    </row>
    <row r="112">
      <c r="C112" s="88" t="n"/>
      <c r="E112" s="63" t="n"/>
      <c r="G112" s="88" t="n"/>
    </row>
    <row r="113">
      <c r="C113" s="88" t="n"/>
      <c r="E113" s="63" t="n"/>
      <c r="G113" s="88" t="n"/>
    </row>
    <row r="114">
      <c r="C114" s="88" t="n"/>
      <c r="E114" s="63" t="n"/>
      <c r="G114" s="88" t="n"/>
    </row>
    <row r="115">
      <c r="C115" s="88" t="n"/>
      <c r="E115" s="63" t="n"/>
      <c r="G115" s="88" t="n"/>
    </row>
    <row r="116">
      <c r="C116" s="88" t="n"/>
      <c r="E116" s="63" t="n"/>
      <c r="G116" s="88" t="n"/>
    </row>
    <row r="117">
      <c r="C117" s="88" t="n"/>
      <c r="E117" s="63" t="n"/>
      <c r="G117" s="88" t="n"/>
    </row>
    <row r="118">
      <c r="C118" s="88" t="n"/>
      <c r="E118" s="63" t="n"/>
      <c r="G118" s="88" t="n"/>
    </row>
    <row r="119">
      <c r="C119" s="88" t="n"/>
      <c r="E119" s="63" t="n"/>
      <c r="G119" s="88" t="n"/>
    </row>
    <row r="120">
      <c r="C120" s="88" t="n"/>
      <c r="E120" s="63" t="n"/>
      <c r="G120" s="88" t="n"/>
    </row>
    <row r="121">
      <c r="C121" s="88" t="n"/>
      <c r="E121" s="63" t="n"/>
      <c r="G121" s="88" t="n"/>
    </row>
    <row r="122">
      <c r="C122" s="88" t="n"/>
      <c r="E122" s="63" t="n"/>
      <c r="G122" s="88" t="n"/>
    </row>
    <row r="123">
      <c r="C123" s="88" t="n"/>
      <c r="E123" s="63" t="n"/>
      <c r="G123" s="88" t="n"/>
    </row>
    <row r="124">
      <c r="C124" s="88" t="n"/>
      <c r="E124" s="63" t="n"/>
      <c r="G124" s="88" t="n"/>
    </row>
    <row r="125">
      <c r="C125" s="88" t="n"/>
      <c r="E125" s="63" t="n"/>
      <c r="G125" s="88" t="n"/>
    </row>
    <row r="126">
      <c r="C126" s="88" t="n"/>
      <c r="E126" s="63" t="n"/>
      <c r="G126" s="88" t="n"/>
    </row>
    <row r="127">
      <c r="C127" s="88" t="n"/>
      <c r="E127" s="63" t="n"/>
      <c r="G127" s="88" t="n"/>
    </row>
    <row r="128">
      <c r="C128" s="88" t="n"/>
      <c r="E128" s="63" t="n"/>
      <c r="G128" s="88" t="n"/>
    </row>
    <row r="129">
      <c r="C129" s="88" t="n"/>
      <c r="E129" s="63" t="n"/>
      <c r="G129" s="88" t="n"/>
    </row>
    <row r="130">
      <c r="C130" s="88" t="n"/>
      <c r="E130" s="63" t="n"/>
      <c r="G130" s="88" t="n"/>
    </row>
    <row r="131">
      <c r="C131" s="88" t="n"/>
      <c r="E131" s="63" t="n"/>
      <c r="G131" s="88" t="n"/>
    </row>
    <row r="132">
      <c r="C132" s="88" t="n"/>
      <c r="E132" s="63" t="n"/>
      <c r="G132" s="88" t="n"/>
    </row>
    <row r="133">
      <c r="C133" s="88" t="n"/>
      <c r="E133" s="63" t="n"/>
      <c r="G133" s="88" t="n"/>
    </row>
    <row r="134">
      <c r="C134" s="88" t="n"/>
      <c r="E134" s="63" t="n"/>
      <c r="G134" s="88" t="n"/>
    </row>
    <row r="135">
      <c r="C135" s="88" t="n"/>
      <c r="E135" s="63" t="n"/>
      <c r="G135" s="88" t="n"/>
    </row>
    <row r="136">
      <c r="C136" s="88" t="n"/>
      <c r="E136" s="63" t="n"/>
      <c r="G136" s="88" t="n"/>
    </row>
    <row r="137">
      <c r="C137" s="88" t="n"/>
      <c r="E137" s="63" t="n"/>
      <c r="G137" s="88" t="n"/>
    </row>
    <row r="138">
      <c r="C138" s="88" t="n"/>
      <c r="E138" s="63" t="n"/>
      <c r="G138" s="88" t="n"/>
    </row>
    <row r="139">
      <c r="C139" s="88" t="n"/>
      <c r="E139" s="63" t="n"/>
      <c r="G139" s="88" t="n"/>
    </row>
    <row r="140">
      <c r="C140" s="88" t="n"/>
      <c r="E140" s="63" t="n"/>
      <c r="G140" s="88" t="n"/>
    </row>
    <row r="141">
      <c r="C141" s="88" t="n"/>
      <c r="E141" s="63" t="n"/>
      <c r="G141" s="88" t="n"/>
    </row>
    <row r="142">
      <c r="C142" s="88" t="n"/>
      <c r="E142" s="63" t="n"/>
      <c r="G142" s="88" t="n"/>
    </row>
    <row r="143">
      <c r="C143" s="88" t="n"/>
      <c r="E143" s="63" t="n"/>
      <c r="G143" s="88" t="n"/>
    </row>
    <row r="144">
      <c r="C144" s="88" t="n"/>
      <c r="E144" s="63" t="n"/>
      <c r="G144" s="88" t="n"/>
    </row>
    <row r="145">
      <c r="C145" s="88" t="n"/>
      <c r="E145" s="63" t="n"/>
      <c r="G145" s="88" t="n"/>
    </row>
    <row r="146">
      <c r="C146" s="88" t="n"/>
      <c r="E146" s="63" t="n"/>
      <c r="G146" s="88" t="n"/>
    </row>
    <row r="147">
      <c r="C147" s="88" t="n"/>
      <c r="E147" s="63" t="n"/>
      <c r="G147" s="88" t="n"/>
    </row>
    <row r="148">
      <c r="C148" s="88" t="n"/>
      <c r="E148" s="63" t="n"/>
      <c r="G148" s="88" t="n"/>
    </row>
    <row r="149">
      <c r="C149" s="88" t="n"/>
      <c r="E149" s="63" t="n"/>
      <c r="G149" s="88" t="n"/>
    </row>
    <row r="150">
      <c r="C150" s="88" t="n"/>
      <c r="E150" s="63" t="n"/>
      <c r="G150" s="88" t="n"/>
    </row>
    <row r="151">
      <c r="C151" s="88" t="n"/>
      <c r="E151" s="63" t="n"/>
      <c r="G151" s="88" t="n"/>
    </row>
    <row r="152">
      <c r="C152" s="88" t="n"/>
      <c r="E152" s="63" t="n"/>
      <c r="G152" s="88" t="n"/>
    </row>
    <row r="153">
      <c r="C153" s="88" t="n"/>
      <c r="E153" s="63" t="n"/>
      <c r="G153" s="88" t="n"/>
    </row>
    <row r="154">
      <c r="C154" s="88" t="n"/>
      <c r="E154" s="63" t="n"/>
      <c r="G154" s="88" t="n"/>
    </row>
    <row r="155">
      <c r="C155" s="88" t="n"/>
      <c r="E155" s="63" t="n"/>
      <c r="G155" s="88" t="n"/>
    </row>
    <row r="156">
      <c r="C156" s="88" t="n"/>
      <c r="E156" s="63" t="n"/>
      <c r="G156" s="88" t="n"/>
    </row>
    <row r="157">
      <c r="C157" s="88" t="n"/>
      <c r="E157" s="63" t="n"/>
      <c r="G157" s="88" t="n"/>
    </row>
    <row r="158">
      <c r="C158" s="88" t="n"/>
      <c r="E158" s="63" t="n"/>
      <c r="G158" s="88" t="n"/>
    </row>
    <row r="159">
      <c r="C159" s="88" t="n"/>
      <c r="E159" s="63" t="n"/>
      <c r="G159" s="88" t="n"/>
    </row>
    <row r="160">
      <c r="C160" s="88" t="n"/>
      <c r="E160" s="63" t="n"/>
      <c r="G160" s="88" t="n"/>
    </row>
    <row r="161">
      <c r="C161" s="88" t="n"/>
      <c r="E161" s="63" t="n"/>
      <c r="G161" s="88" t="n"/>
    </row>
    <row r="162">
      <c r="C162" s="88" t="n"/>
      <c r="E162" s="63" t="n"/>
      <c r="G162" s="88" t="n"/>
    </row>
    <row r="163">
      <c r="C163" s="88" t="n"/>
      <c r="E163" s="63" t="n"/>
      <c r="G163" s="88" t="n"/>
    </row>
    <row r="164">
      <c r="C164" s="88" t="n"/>
      <c r="E164" s="63" t="n"/>
      <c r="G164" s="88" t="n"/>
    </row>
    <row r="165">
      <c r="C165" s="88" t="n"/>
      <c r="E165" s="63" t="n"/>
      <c r="G165" s="88" t="n"/>
    </row>
    <row r="166">
      <c r="C166" s="88" t="n"/>
      <c r="E166" s="63" t="n"/>
      <c r="G166" s="88" t="n"/>
    </row>
    <row r="167">
      <c r="C167" s="88" t="n"/>
      <c r="E167" s="63" t="n"/>
      <c r="G167" s="88" t="n"/>
    </row>
    <row r="168">
      <c r="C168" s="88" t="n"/>
      <c r="E168" s="63" t="n"/>
      <c r="G168" s="88" t="n"/>
    </row>
    <row r="169">
      <c r="C169" s="88" t="n"/>
      <c r="E169" s="63" t="n"/>
      <c r="G169" s="88" t="n"/>
    </row>
    <row r="170">
      <c r="C170" s="88" t="n"/>
      <c r="E170" s="63" t="n"/>
      <c r="G170" s="88" t="n"/>
    </row>
    <row r="171">
      <c r="C171" s="88" t="n"/>
      <c r="E171" s="63" t="n"/>
      <c r="G171" s="88" t="n"/>
    </row>
    <row r="172">
      <c r="C172" s="88" t="n"/>
      <c r="E172" s="63" t="n"/>
      <c r="G172" s="88" t="n"/>
    </row>
    <row r="173">
      <c r="C173" s="88" t="n"/>
      <c r="E173" s="63" t="n"/>
      <c r="G173" s="88" t="n"/>
    </row>
    <row r="174">
      <c r="C174" s="88" t="n"/>
      <c r="E174" s="63" t="n"/>
      <c r="G174" s="88" t="n"/>
    </row>
    <row r="175">
      <c r="C175" s="88" t="n"/>
      <c r="E175" s="63" t="n"/>
      <c r="G175" s="88" t="n"/>
    </row>
    <row r="176">
      <c r="C176" s="88" t="n"/>
      <c r="E176" s="63" t="n"/>
      <c r="G176" s="88" t="n"/>
    </row>
    <row r="177">
      <c r="C177" s="88" t="n"/>
      <c r="E177" s="63" t="n"/>
      <c r="G177" s="88" t="n"/>
    </row>
    <row r="178">
      <c r="C178" s="88" t="n"/>
      <c r="E178" s="63" t="n"/>
      <c r="G178" s="88" t="n"/>
    </row>
    <row r="179">
      <c r="C179" s="88" t="n"/>
      <c r="E179" s="63" t="n"/>
      <c r="G179" s="88" t="n"/>
    </row>
    <row r="180">
      <c r="C180" s="88" t="n"/>
      <c r="E180" s="63" t="n"/>
      <c r="G180" s="88" t="n"/>
    </row>
    <row r="181">
      <c r="C181" s="88" t="n"/>
      <c r="E181" s="63" t="n"/>
      <c r="G181" s="88" t="n"/>
    </row>
    <row r="182">
      <c r="C182" s="88" t="n"/>
      <c r="E182" s="63" t="n"/>
      <c r="G182" s="88" t="n"/>
    </row>
    <row r="183">
      <c r="C183" s="88" t="n"/>
      <c r="E183" s="63" t="n"/>
      <c r="G183" s="88" t="n"/>
    </row>
    <row r="184">
      <c r="C184" s="88" t="n"/>
      <c r="E184" s="63" t="n"/>
      <c r="G184" s="88" t="n"/>
    </row>
    <row r="185">
      <c r="C185" s="88" t="n"/>
      <c r="E185" s="63" t="n"/>
      <c r="G185" s="88" t="n"/>
    </row>
    <row r="186">
      <c r="C186" s="88" t="n"/>
      <c r="E186" s="63" t="n"/>
      <c r="G186" s="88" t="n"/>
    </row>
    <row r="187">
      <c r="C187" s="88" t="n"/>
      <c r="E187" s="63" t="n"/>
      <c r="G187" s="88" t="n"/>
    </row>
    <row r="188">
      <c r="C188" s="88" t="n"/>
      <c r="E188" s="63" t="n"/>
      <c r="G188" s="88" t="n"/>
    </row>
    <row r="189">
      <c r="C189" s="88" t="n"/>
      <c r="E189" s="63" t="n"/>
      <c r="G189" s="88" t="n"/>
    </row>
    <row r="190">
      <c r="C190" s="88" t="n"/>
      <c r="E190" s="63" t="n"/>
      <c r="G190" s="88" t="n"/>
    </row>
    <row r="191">
      <c r="C191" s="88" t="n"/>
      <c r="E191" s="63" t="n"/>
      <c r="G191" s="88" t="n"/>
    </row>
    <row r="192">
      <c r="C192" s="88" t="n"/>
      <c r="E192" s="63" t="n"/>
      <c r="G192" s="88" t="n"/>
    </row>
    <row r="193">
      <c r="C193" s="88" t="n"/>
      <c r="E193" s="63" t="n"/>
      <c r="G193" s="88" t="n"/>
    </row>
    <row r="194">
      <c r="C194" s="88" t="n"/>
      <c r="E194" s="63" t="n"/>
      <c r="G194" s="88" t="n"/>
    </row>
    <row r="195">
      <c r="C195" s="88" t="n"/>
      <c r="E195" s="63" t="n"/>
      <c r="G195" s="88" t="n"/>
    </row>
    <row r="196">
      <c r="C196" s="88" t="n"/>
      <c r="E196" s="63" t="n"/>
      <c r="G196" s="88" t="n"/>
    </row>
    <row r="197">
      <c r="C197" s="88" t="n"/>
      <c r="E197" s="63" t="n"/>
      <c r="G197" s="88" t="n"/>
    </row>
    <row r="198">
      <c r="C198" s="88" t="n"/>
      <c r="E198" s="63" t="n"/>
      <c r="G198" s="88" t="n"/>
    </row>
    <row r="199">
      <c r="C199" s="88" t="n"/>
      <c r="E199" s="63" t="n"/>
      <c r="G199" s="88" t="n"/>
    </row>
    <row r="200">
      <c r="C200" s="88" t="n"/>
      <c r="E200" s="63" t="n"/>
      <c r="G200" s="88" t="n"/>
    </row>
  </sheetData>
  <dataValidations count="1">
    <dataValidation sqref="F2:F200" showDropDown="0" showInputMessage="0" showErrorMessage="0" allowBlank="1" errorTitle="Invalid Status" error="Please select from the list" type="list">
      <formula1>"Not Started,In Progress,Done,Late"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6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2" customWidth="1" min="1" max="1"/>
    <col width="14" customWidth="1" min="2" max="2"/>
    <col width="10" customWidth="1" min="3" max="3"/>
    <col width="10" customWidth="1" min="4" max="4"/>
    <col width="10" customWidth="1" min="5" max="5"/>
    <col width="10" customWidth="1" min="6" max="6"/>
    <col width="10" customWidth="1" min="7" max="7"/>
    <col width="10" customWidth="1" min="8" max="8"/>
    <col width="10" customWidth="1" min="9" max="9"/>
    <col width="12" customWidth="1" min="10" max="10"/>
    <col hidden="1" width="13" customWidth="1" min="11" max="11"/>
    <col hidden="1" width="13" customWidth="1" min="12" max="12"/>
    <col hidden="1" width="13" customWidth="1" min="13" max="13"/>
  </cols>
  <sheetData>
    <row r="1">
      <c r="A1" s="64" t="inlineStr">
        <is>
          <t>Weekly Summary</t>
        </is>
      </c>
      <c r="K1" t="inlineStr">
        <is>
          <t>LatestDate</t>
        </is>
      </c>
      <c r="L1" t="inlineStr">
        <is>
          <t>WeekStart</t>
        </is>
      </c>
      <c r="M1" t="inlineStr">
        <is>
          <t>WeekEnd</t>
        </is>
      </c>
    </row>
    <row r="2">
      <c r="A2" s="61" t="n"/>
      <c r="B2" s="61" t="inlineStr">
        <is>
          <t>Category</t>
        </is>
      </c>
      <c r="C2" s="90">
        <f>$L$2+0</f>
        <v/>
      </c>
      <c r="D2" s="90">
        <f>$L$2+1</f>
        <v/>
      </c>
      <c r="E2" s="90">
        <f>$L$2+2</f>
        <v/>
      </c>
      <c r="F2" s="90">
        <f>$L$2+3</f>
        <v/>
      </c>
      <c r="G2" s="90">
        <f>$L$2+4</f>
        <v/>
      </c>
      <c r="H2" s="90">
        <f>$L$2+5</f>
        <v/>
      </c>
      <c r="I2" s="90">
        <f>$L$2+6</f>
        <v/>
      </c>
      <c r="J2" s="61" t="inlineStr">
        <is>
          <t>Weekly Total</t>
        </is>
      </c>
      <c r="K2">
        <f>MAX('Time Entries'!A:A)</f>
        <v/>
      </c>
      <c r="L2">
        <f>K2-WEEKDAY(K2,2)+1</f>
        <v/>
      </c>
      <c r="M2">
        <f>K2+6-WEEKDAY(K2,2)+1</f>
        <v/>
      </c>
    </row>
    <row r="3">
      <c r="A3" s="66">
        <f>"Week "&amp;WEEKNUM(L2)&amp;" ("&amp;TEXT(L2,"dd-mm-yyyy")&amp;" - "&amp;TEXT(M2,"dd-mm-yyyy")&amp;")"</f>
        <v/>
      </c>
    </row>
    <row r="4">
      <c r="A4" s="61" t="inlineStr">
        <is>
          <t>Project: Task</t>
        </is>
      </c>
      <c r="B4" s="61" t="inlineStr">
        <is>
          <t>Category</t>
        </is>
      </c>
      <c r="C4" s="61" t="inlineStr">
        <is>
          <t>Mon</t>
        </is>
      </c>
      <c r="D4" s="61" t="inlineStr">
        <is>
          <t>Tue</t>
        </is>
      </c>
      <c r="E4" s="61" t="inlineStr">
        <is>
          <t>Wed</t>
        </is>
      </c>
      <c r="F4" s="61" t="inlineStr">
        <is>
          <t>Thu</t>
        </is>
      </c>
      <c r="G4" s="61" t="inlineStr">
        <is>
          <t>Fri</t>
        </is>
      </c>
      <c r="H4" s="61" t="inlineStr">
        <is>
          <t>Sat</t>
        </is>
      </c>
      <c r="I4" s="61" t="inlineStr">
        <is>
          <t>Sun</t>
        </is>
      </c>
      <c r="J4" s="61" t="inlineStr">
        <is>
          <t>Total</t>
        </is>
      </c>
    </row>
    <row r="5">
      <c r="A5" s="67">
        <f>SORT(UNIQUE(FILTER('Time Entries'!K:K&amp;": "&amp;'Time Entries'!L:L,('Time Entries'!A:A&gt;=L$2)*('Time Entries'!A:A&lt;=M$2)*('Time Entries'!L:L&lt;&gt;""))))</f>
        <v/>
      </c>
      <c r="B5" s="67">
        <f>XLOOKUP(TRIM(MID(A5#,FIND(": ",A5#)+2,99)),'Time Entries'!L:L,'Time Entries'!F:F,,0)</f>
        <v/>
      </c>
      <c r="C5" s="68">
        <f>SUMIFS('Time Entries'!I:I,'Time Entries'!M:M,A5#,'Time Entries'!A:A,$L$2+0)</f>
        <v/>
      </c>
      <c r="D5" s="68">
        <f>SUMIFS('Time Entries'!I:I,'Time Entries'!M:M,A5#,'Time Entries'!A:A,$L$2+1)</f>
        <v/>
      </c>
      <c r="E5" s="68">
        <f>SUMIFS('Time Entries'!I:I,'Time Entries'!M:M,A5#,'Time Entries'!A:A,$L$2+2)</f>
        <v/>
      </c>
      <c r="F5" s="68">
        <f>SUMIFS('Time Entries'!I:I,'Time Entries'!M:M,A5#,'Time Entries'!A:A,$L$2+3)</f>
        <v/>
      </c>
      <c r="G5" s="68">
        <f>SUMIFS('Time Entries'!I:I,'Time Entries'!M:M,A5#,'Time Entries'!A:A,$L$2+4)</f>
        <v/>
      </c>
      <c r="H5" s="68">
        <f>SUMIFS('Time Entries'!I:I,'Time Entries'!M:M,A5#,'Time Entries'!A:A,$L$2+5)</f>
        <v/>
      </c>
      <c r="I5" s="68">
        <f>SUMIFS('Time Entries'!I:I,'Time Entries'!M:M,A5#,'Time Entries'!A:A,$L$2+6)</f>
        <v/>
      </c>
      <c r="J5" s="69">
        <f>SUM(C5#:I5#)</f>
        <v/>
      </c>
    </row>
    <row r="6">
      <c r="A6" s="70" t="inlineStr">
        <is>
          <t>GRAND TOTAL</t>
        </is>
      </c>
      <c r="B6" s="71" t="n"/>
      <c r="C6" s="72">
        <f>SUM(C5#)</f>
        <v/>
      </c>
      <c r="D6" s="72">
        <f>SUM(D5#)</f>
        <v/>
      </c>
      <c r="E6" s="72">
        <f>SUM(E5#)</f>
        <v/>
      </c>
      <c r="F6" s="72">
        <f>SUM(F5#)</f>
        <v/>
      </c>
      <c r="G6" s="72">
        <f>SUM(G5#)</f>
        <v/>
      </c>
      <c r="H6" s="72">
        <f>SUM(H5#)</f>
        <v/>
      </c>
      <c r="I6" s="72">
        <f>SUM(I5#)</f>
        <v/>
      </c>
      <c r="J6" s="72">
        <f>SUM(J5#)</f>
        <v/>
      </c>
    </row>
  </sheetData>
  <mergeCells count="2">
    <mergeCell ref="A1:J1"/>
    <mergeCell ref="A3:J3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63"/>
  <sheetViews>
    <sheetView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8" customWidth="1" min="1" max="1"/>
    <col width="20" customWidth="1" min="2" max="2"/>
    <col width="30" customWidth="1" min="3" max="3"/>
    <col width="15" customWidth="1" min="4" max="4"/>
    <col width="12" customWidth="1" min="5" max="5"/>
    <col width="50" customWidth="1" min="6" max="6"/>
  </cols>
  <sheetData>
    <row r="1">
      <c r="A1" s="73" t="inlineStr">
        <is>
          <t>Daily Detail</t>
        </is>
      </c>
      <c r="C1" s="91">
        <f>MAX('Time Entries'!A:A)</f>
        <v/>
      </c>
      <c r="D1" s="49" t="inlineStr">
        <is>
          <t>(Edit C1 to change date)</t>
        </is>
      </c>
    </row>
    <row r="2">
      <c r="A2" s="75">
        <f>TEXT(C1,"dd-mm-yyyy")</f>
        <v/>
      </c>
    </row>
    <row r="3">
      <c r="A3" s="61" t="inlineStr">
        <is>
          <t>Time Range</t>
        </is>
      </c>
      <c r="B3" s="61" t="inlineStr">
        <is>
          <t>Project</t>
        </is>
      </c>
      <c r="C3" s="61" t="inlineStr">
        <is>
          <t>Father Task</t>
        </is>
      </c>
      <c r="D3" s="61" t="inlineStr">
        <is>
          <t>Category</t>
        </is>
      </c>
      <c r="E3" s="61" t="inlineStr">
        <is>
          <t>Duration (h)</t>
        </is>
      </c>
      <c r="F3" s="61" t="inlineStr">
        <is>
          <t>Description</t>
        </is>
      </c>
    </row>
    <row r="4">
      <c r="A4" s="76">
        <f>FILTER('Time Entries'!G:G&amp;" - "&amp;'Time Entries'!H:H,'Time Entries'!A:A=$C$1,"")</f>
        <v/>
      </c>
      <c r="B4" s="76">
        <f>FILTER('Time Entries'!K:K,'Time Entries'!A:A=$C$1,"")</f>
        <v/>
      </c>
      <c r="C4" s="76">
        <f>FILTER('Time Entries'!L:L,'Time Entries'!A:A=$C$1,"")</f>
        <v/>
      </c>
      <c r="D4" s="76">
        <f>FILTER('Time Entries'!F:F,'Time Entries'!A:A=$C$1,"")</f>
        <v/>
      </c>
      <c r="E4" s="77">
        <f>FILTER('Time Entries'!I:I,'Time Entries'!A:A=$C$1,"")</f>
        <v/>
      </c>
      <c r="F4" s="78">
        <f>FILTER('Time Entries'!J:J,'Time Entries'!A:A=$C$1,"")</f>
        <v/>
      </c>
    </row>
    <row r="59">
      <c r="A59" s="79" t="inlineStr">
        <is>
          <t>DAY SUMMARY</t>
        </is>
      </c>
    </row>
    <row r="60">
      <c r="A60" s="80" t="inlineStr">
        <is>
          <t>Total Hours:</t>
        </is>
      </c>
      <c r="B60" s="81">
        <f>SUM(E4#)</f>
        <v/>
      </c>
    </row>
    <row r="61">
      <c r="A61" s="80" t="inlineStr">
        <is>
          <t>Working Day:</t>
        </is>
      </c>
      <c r="B61" s="80" t="inlineStr">
        <is>
          <t>7.50 h</t>
        </is>
      </c>
    </row>
    <row r="62">
      <c r="A62" s="80" t="inlineStr">
        <is>
          <t>% Utilized:</t>
        </is>
      </c>
      <c r="B62" s="82">
        <f>IF(E60=0,"N/A",E60/7.5)</f>
        <v/>
      </c>
    </row>
    <row r="63">
      <c r="A63" s="80" t="inlineStr">
        <is>
          <t>Status:</t>
        </is>
      </c>
      <c r="B63" s="80">
        <f>IF(E60=0,"No entries",IF(E60&gt;=7.5,"✓ Full day","△ Partial: "&amp;TEXT(7.5-E60,"0.00")&amp;"h remaining"))</f>
        <v/>
      </c>
    </row>
  </sheetData>
  <mergeCells count="3">
    <mergeCell ref="A2:F2"/>
    <mergeCell ref="A59:F59"/>
    <mergeCell ref="A1:B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64"/>
  <sheetViews>
    <sheetView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35" customWidth="1" min="1" max="1"/>
    <col width="20" customWidth="1" min="2" max="2"/>
    <col width="14" customWidth="1" min="3" max="3"/>
    <col width="14" customWidth="1" min="4" max="4"/>
    <col width="16" customWidth="1" min="5" max="5"/>
    <col width="14" customWidth="1" min="6" max="6"/>
    <col width="16" customWidth="1" min="7" max="7"/>
    <col hidden="1" width="13" customWidth="1" min="9" max="9"/>
    <col hidden="1" width="13" customWidth="1" min="10" max="10"/>
    <col hidden="1" width="13" customWidth="1" min="11" max="11"/>
  </cols>
  <sheetData>
    <row r="1">
      <c r="A1" s="64" t="inlineStr">
        <is>
          <t>Monthly Performance</t>
        </is>
      </c>
      <c r="I1" t="inlineStr">
        <is>
          <t>LatestDate</t>
        </is>
      </c>
      <c r="J1" t="inlineStr">
        <is>
          <t>MonthStart</t>
        </is>
      </c>
      <c r="K1" t="inlineStr">
        <is>
          <t>MonthEnd</t>
        </is>
      </c>
    </row>
    <row r="2">
      <c r="A2" s="83">
        <f>"Month: "&amp;TEXT(J2,"mm-yyyy")</f>
        <v/>
      </c>
      <c r="I2">
        <f>MAX('Time Entries'!A:A)</f>
        <v/>
      </c>
      <c r="J2">
        <f>DATE(YEAR(I2),MONTH(I2),1)</f>
        <v/>
      </c>
      <c r="K2">
        <f>EOMONTH(I2,0)</f>
        <v/>
      </c>
    </row>
    <row r="3">
      <c r="A3" s="61" t="inlineStr">
        <is>
          <t>Father Task</t>
        </is>
      </c>
      <c r="B3" s="61" t="inlineStr">
        <is>
          <t>Project</t>
        </is>
      </c>
      <c r="C3" s="61" t="inlineStr">
        <is>
          <t>Total Hours</t>
        </is>
      </c>
      <c r="D3" s="61" t="inlineStr">
        <is>
          <t>Deadline (h)</t>
        </is>
      </c>
      <c r="E3" s="61" t="inlineStr">
        <is>
          <t>% Performance</t>
        </is>
      </c>
      <c r="F3" s="61" t="inlineStr">
        <is>
          <t>Status</t>
        </is>
      </c>
      <c r="G3" s="61" t="inlineStr">
        <is>
          <t>Completed Date</t>
        </is>
      </c>
    </row>
    <row r="4">
      <c r="A4" s="78">
        <f>FILTER(KPIs!A:A,(KPIs!A:A&lt;&gt;"")*(KPIs!A:A&lt;&gt;"Father Task")*(KPIs!A:A&lt;&gt;"[Enter father task name]"),"No KPIs set")</f>
        <v/>
      </c>
      <c r="B4" s="78">
        <f>XLOOKUP(A4#,KPIs!A:A,KPIs!B:B)</f>
        <v/>
      </c>
      <c r="C4" s="77">
        <f>SUMIFS('Time Entries'!I:I,'Time Entries'!L:L,A4#,'Time Entries'!A:A,"&gt;="&amp;J$2,'Time Entries'!A:A,"&lt;="&amp;K$2)</f>
        <v/>
      </c>
      <c r="D4" s="77">
        <f>XLOOKUP(A4#,KPIs!A:A,KPIs!E:E)</f>
        <v/>
      </c>
      <c r="E4" s="84">
        <f>IFERROR(C4#/D4#*100,"")</f>
        <v/>
      </c>
      <c r="F4" s="76">
        <f>XLOOKUP(A4#,KPIs!A:A,KPIs!F:F)</f>
        <v/>
      </c>
      <c r="G4" s="92">
        <f>XLOOKUP(A4#,KPIs!A:A,KPIs!G:G)</f>
        <v/>
      </c>
    </row>
    <row r="59">
      <c r="A59" s="79" t="inlineStr">
        <is>
          <t>MONTHLY SUMMARY</t>
        </is>
      </c>
    </row>
    <row r="60">
      <c r="A60" s="80" t="inlineStr">
        <is>
          <t>Total Hours (all tasks):</t>
        </is>
      </c>
      <c r="B60" s="11">
        <f>SUM(C4#)</f>
        <v/>
      </c>
    </row>
    <row r="61">
      <c r="A61" s="80" t="inlineStr">
        <is>
          <t>Avg Performance:</t>
        </is>
      </c>
      <c r="B61" s="86">
        <f>AVERAGE(E4#)</f>
        <v/>
      </c>
    </row>
    <row r="62">
      <c r="A62" s="80" t="inlineStr">
        <is>
          <t>Tasks On Time:</t>
        </is>
      </c>
      <c r="B62">
        <f>COUNTIF(F4#,"Done")</f>
        <v/>
      </c>
    </row>
    <row r="63">
      <c r="A63" s="80" t="inlineStr">
        <is>
          <t>Tasks Late:</t>
        </is>
      </c>
      <c r="B63">
        <f>COUNTIF(F4#,"Late")</f>
        <v/>
      </c>
    </row>
    <row r="64">
      <c r="A64" s="80" t="inlineStr">
        <is>
          <t>Overall:</t>
        </is>
      </c>
      <c r="B64">
        <f>IF(COUNTIF(F4#,"Late")&gt;0,"⚠ Needs attention","✓ All on track")</f>
        <v/>
      </c>
    </row>
  </sheetData>
  <mergeCells count="3">
    <mergeCell ref="A2:G2"/>
    <mergeCell ref="A1:G1"/>
    <mergeCell ref="A59:G59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2026-06-30T04:41:00Z</dcterms:created>
  <dcterms:modified xmlns:dcterms="http://purl.org/dc/terms/" xmlns:xsi="http://www.w3.org/2001/XMLSchema-instance" xsi:type="dcterms:W3CDTF">2026-07-16T04:28:21Z</dcterms:modified>
  <cp:lastModifiedBy>Đặng Dương Huy</cp:lastModifiedBy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56DD7E8A69404C33B1783B375C1B72C6_12</vt:lpwstr>
  </property>
  <property name="KSOProductBuildVer" fmtid="{D5CDD505-2E9C-101B-9397-08002B2CF9AE}" pid="3">
    <vt:lpwstr xmlns:vt="http://schemas.openxmlformats.org/officeDocument/2006/docPropsVTypes">1033-12.1.0.27458</vt:lpwstr>
  </property>
  <property name="CalculationRule" fmtid="{D5CDD505-2E9C-101B-9397-08002B2CF9AE}" pid="4">
    <vt:i4 xmlns:vt="http://schemas.openxmlformats.org/officeDocument/2006/docPropsVTypes">0</vt:i4>
  </property>
</Properties>
</file>